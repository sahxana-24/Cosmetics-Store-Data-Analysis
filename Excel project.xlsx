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ahan\Downloads\"/>
    </mc:Choice>
  </mc:AlternateContent>
  <xr:revisionPtr revIDLastSave="0" documentId="13_ncr:1_{70DEE979-169B-4575-9A56-B7EAE3817461}" xr6:coauthVersionLast="47" xr6:coauthVersionMax="47" xr10:uidLastSave="{00000000-0000-0000-0000-000000000000}"/>
  <bookViews>
    <workbookView xWindow="-108" yWindow="-108" windowWidth="23256" windowHeight="12456" activeTab="6" xr2:uid="{00000000-000D-0000-FFFF-FFFF00000000}"/>
  </bookViews>
  <sheets>
    <sheet name="Sheet5" sheetId="6" r:id="rId1"/>
    <sheet name="Sheet6" sheetId="7" r:id="rId2"/>
    <sheet name="Sheet7" sheetId="8" r:id="rId3"/>
    <sheet name="Sheet8" sheetId="9" r:id="rId4"/>
    <sheet name="Sheet12" sheetId="13" r:id="rId5"/>
    <sheet name="Cosmetics_Data" sheetId="1" r:id="rId6"/>
    <sheet name="Dashboard" sheetId="2" r:id="rId7"/>
  </sheets>
  <definedNames>
    <definedName name="Slicer_Brand">#N/A</definedName>
    <definedName name="Slicer_City">#N/A</definedName>
    <definedName name="Slicer_Skin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alcChain>
</file>

<file path=xl/sharedStrings.xml><?xml version="1.0" encoding="utf-8"?>
<sst xmlns="http://schemas.openxmlformats.org/spreadsheetml/2006/main" count="1453" uniqueCount="257">
  <si>
    <t>Customer_ID</t>
  </si>
  <si>
    <t>Age</t>
  </si>
  <si>
    <t>Gender</t>
  </si>
  <si>
    <t>Skin_Type</t>
  </si>
  <si>
    <t>Product_Category</t>
  </si>
  <si>
    <t>Product_Name</t>
  </si>
  <si>
    <t>Brand</t>
  </si>
  <si>
    <t>Price_USD</t>
  </si>
  <si>
    <t>Quantity</t>
  </si>
  <si>
    <t>Purchase_Date</t>
  </si>
  <si>
    <t>Rating</t>
  </si>
  <si>
    <t>City</t>
  </si>
  <si>
    <t>C001</t>
  </si>
  <si>
    <t>Female</t>
  </si>
  <si>
    <t>Normal</t>
  </si>
  <si>
    <t>Haircare</t>
  </si>
  <si>
    <t>Sunscreen</t>
  </si>
  <si>
    <t>Nykaa</t>
  </si>
  <si>
    <t>Hyderabad</t>
  </si>
  <si>
    <t>C002</t>
  </si>
  <si>
    <t>Sensitive</t>
  </si>
  <si>
    <t>Skincare</t>
  </si>
  <si>
    <t>Gentle Cleanser</t>
  </si>
  <si>
    <t>Lakme</t>
  </si>
  <si>
    <t>C003</t>
  </si>
  <si>
    <t>Male</t>
  </si>
  <si>
    <t>Oily</t>
  </si>
  <si>
    <t>Makeup</t>
  </si>
  <si>
    <t>Clay Mask</t>
  </si>
  <si>
    <t>Mamaearth</t>
  </si>
  <si>
    <t>Chennai</t>
  </si>
  <si>
    <t>C004</t>
  </si>
  <si>
    <t>Oil Control Face Wash</t>
  </si>
  <si>
    <t>Dot &amp; Key</t>
  </si>
  <si>
    <t>Kochi</t>
  </si>
  <si>
    <t>C005</t>
  </si>
  <si>
    <t>Mattifying Moisturizer</t>
  </si>
  <si>
    <t>Plum</t>
  </si>
  <si>
    <t>C006</t>
  </si>
  <si>
    <t>Face Wash</t>
  </si>
  <si>
    <t>Maybelline</t>
  </si>
  <si>
    <t>C007</t>
  </si>
  <si>
    <t>Dry</t>
  </si>
  <si>
    <t>Aloe Moisturizer</t>
  </si>
  <si>
    <t>Delhi</t>
  </si>
  <si>
    <t>C008</t>
  </si>
  <si>
    <t>Combination</t>
  </si>
  <si>
    <t>Balance Cleanser</t>
  </si>
  <si>
    <t>Bengaluru</t>
  </si>
  <si>
    <t>C009</t>
  </si>
  <si>
    <t>Minimalist</t>
  </si>
  <si>
    <t>C010</t>
  </si>
  <si>
    <t>C011</t>
  </si>
  <si>
    <t>Nourishing Cream</t>
  </si>
  <si>
    <t>C012</t>
  </si>
  <si>
    <t>Moisturizer</t>
  </si>
  <si>
    <t>C013</t>
  </si>
  <si>
    <t>C014</t>
  </si>
  <si>
    <t>Soothing Gel</t>
  </si>
  <si>
    <t>Mumbai</t>
  </si>
  <si>
    <t>C015</t>
  </si>
  <si>
    <t>C016</t>
  </si>
  <si>
    <t>C017</t>
  </si>
  <si>
    <t>Fragrance Free Cream</t>
  </si>
  <si>
    <t>C018</t>
  </si>
  <si>
    <t>Hydrating Serum</t>
  </si>
  <si>
    <t>C019</t>
  </si>
  <si>
    <t>C020</t>
  </si>
  <si>
    <t>Vitamin C Serum</t>
  </si>
  <si>
    <t>C021</t>
  </si>
  <si>
    <t>C022</t>
  </si>
  <si>
    <t>C023</t>
  </si>
  <si>
    <t>C024</t>
  </si>
  <si>
    <t>Coimbatore</t>
  </si>
  <si>
    <t>C025</t>
  </si>
  <si>
    <t>Daily Lotion</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</si>
  <si>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</si>
  <si>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</si>
  <si>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</si>
  <si>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</si>
  <si>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</si>
  <si>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</si>
  <si>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</si>
  <si>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</si>
  <si>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</si>
  <si>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</si>
  <si>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</si>
  <si>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</si>
  <si>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</si>
  <si>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</si>
  <si>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</si>
  <si>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</si>
  <si>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</si>
  <si>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</si>
  <si>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</si>
  <si>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</si>
  <si>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</si>
  <si>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</si>
  <si>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</si>
  <si>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</si>
  <si>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</si>
  <si>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</si>
  <si>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</si>
  <si>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</si>
  <si>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</si>
  <si>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</si>
  <si>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</si>
  <si>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</si>
  <si>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</si>
  <si>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</si>
  <si>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</si>
  <si>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</si>
  <si>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</si>
  <si>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</si>
  <si>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</si>
  <si>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</si>
  <si>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</si>
  <si>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</si>
  <si>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</si>
  <si>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</si>
  <si>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</si>
  <si>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</si>
  <si>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</si>
  <si>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</si>
  <si>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</si>
  <si>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</si>
  <si>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</si>
  <si>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</si>
  <si>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</si>
  <si>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</si>
  <si>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</si>
  <si>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</si>
  <si>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</si>
  <si>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</si>
  <si>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</si>
  <si>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</si>
  <si>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</si>
  <si>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</si>
  <si>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</si>
  <si>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</si>
  <si>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</si>
  <si>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</si>
  <si>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</si>
  <si>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</si>
  <si>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</si>
  <si>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</si>
  <si>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</si>
  <si>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</si>
  <si>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</si>
  <si>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</si>
  <si>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</si>
  <si>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</si>
  <si>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</si>
  <si>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</si>
  <si>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</si>
  <si>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</si>
  <si>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</si>
  <si>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</si>
  <si>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</si>
  <si>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</si>
  <si>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</si>
  <si>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</si>
  <si>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</si>
  <si>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</si>
  <si>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</si>
  <si>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</si>
  <si>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</si>
  <si>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</si>
  <si>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</si>
  <si>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</si>
  <si>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</si>
  <si>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</si>
  <si>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</si>
  <si>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</si>
  <si>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</si>
  <si>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</si>
  <si>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</si>
  <si>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</si>
  <si>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</si>
  <si>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</si>
  <si>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</si>
  <si>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</si>
  <si>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</si>
  <si>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</si>
  <si>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</si>
  <si>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</si>
  <si>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</si>
  <si>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</si>
  <si>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</si>
  <si>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</si>
  <si>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</si>
  <si>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</si>
  <si>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</si>
  <si>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</si>
  <si>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</si>
  <si>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</si>
  <si>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</si>
  <si>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</si>
  <si>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</si>
  <si>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</si>
  <si>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</si>
  <si>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</si>
  <si>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</si>
  <si>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</si>
  <si>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</si>
  <si>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</si>
  <si>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</si>
  <si>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</si>
  <si>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</si>
  <si>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</si>
  <si>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</si>
  <si>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</si>
  <si>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</si>
  <si>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</si>
  <si>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</si>
  <si>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</si>
  <si>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</si>
  <si>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</si>
  <si>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</si>
  <si>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</si>
  <si>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</si>
  <si>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</si>
  <si>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</si>
  <si>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</si>
  <si>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</si>
  <si>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</si>
  <si>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</si>
  <si>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</si>
  <si>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</si>
  <si>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</si>
  <si>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</si>
  <si>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</si>
  <si>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</si>
  <si>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</si>
  <si>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</si>
  <si>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</si>
  <si>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</si>
  <si>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</si>
  <si>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</si>
  <si>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</si>
  <si>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</si>
  <si>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</si>
  <si>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</si>
  <si>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</si>
  <si>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</si>
  <si>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</si>
  <si>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</si>
  <si>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</si>
  <si>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</si>
  <si>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</si>
  <si>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</si>
  <si>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Row Labels</t>
  </si>
  <si>
    <t>Grand Total</t>
  </si>
  <si>
    <t>Revenue</t>
  </si>
  <si>
    <t>Sum of Revenue</t>
  </si>
  <si>
    <t>Count of Customer_ID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</si>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</sst>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cellXfs>
  <cellStyles count="1">
    <cellStyle name="Normal" xfId="0" builtinId="0"/>
  </cellStyles>
  <dxfs count="3">
    <dxf>
      <numFmt numFmtId="0" formatCode="General"/>
    </dxf>
    <dxf>
      <numFmt numFmtId="0" formatCode="General"/>
    </dxf>
    <dxf>
      <numFmt numFmtId="164" formatCode="yyyy\-mm\-dd"/>
    </dxf>
  </dxfs>
  <tableStyles count="0" defaultTableStyle="TableStyleMedium9" defaultPivotStyle="PivotStyleLight16"/>
  <colors>
    <mruColors>
      <color rgb="FF660066"/>
      <color rgb="FF0898F1"/>
      <color rgb="FF60CC20"/>
      <color rgb="FFFF9911"/>
      <color rgb="FFF81976"/>
      <color rgb="FFFF33CC"/>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Haircare</c:v>
                </c:pt>
                <c:pt idx="1">
                  <c:v>Makeup</c:v>
                </c:pt>
                <c:pt idx="2">
                  <c:v>Skincare</c:v>
                </c:pt>
              </c:strCache>
            </c:strRef>
          </c:cat>
          <c:val>
            <c:numRef>
              <c:f>Sheet5!$B$4:$B$7</c:f>
              <c:numCache>
                <c:formatCode>General</c:formatCode>
                <c:ptCount val="3"/>
                <c:pt idx="0">
                  <c:v>4868.2800000000007</c:v>
                </c:pt>
                <c:pt idx="1">
                  <c:v>3808.57</c:v>
                </c:pt>
                <c:pt idx="2">
                  <c:v>4574.7800000000016</c:v>
                </c:pt>
              </c:numCache>
            </c:numRef>
          </c:val>
          <c:extLst>
            <c:ext xmlns:c16="http://schemas.microsoft.com/office/drawing/2014/chart" uri="{C3380CC4-5D6E-409C-BE32-E72D297353CC}">
              <c16:uniqueId val="{00000000-9707-44BE-9493-99FA9C561694}"/>
            </c:ext>
          </c:extLst>
        </c:ser>
        <c:dLbls>
          <c:showLegendKey val="0"/>
          <c:showVal val="0"/>
          <c:showCatName val="0"/>
          <c:showSerName val="0"/>
          <c:showPercent val="0"/>
          <c:showBubbleSize val="0"/>
        </c:dLbls>
        <c:gapWidth val="219"/>
        <c:overlap val="-27"/>
        <c:axId val="1171245295"/>
        <c:axId val="1171230415"/>
      </c:barChart>
      <c:catAx>
        <c:axId val="11712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30415"/>
        <c:crosses val="autoZero"/>
        <c:auto val="1"/>
        <c:lblAlgn val="ctr"/>
        <c:lblOffset val="100"/>
        <c:noMultiLvlLbl val="0"/>
      </c:catAx>
      <c:valAx>
        <c:axId val="11712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Sheet6!$A$4:$A$11</c:f>
              <c:strCache>
                <c:ptCount val="7"/>
                <c:pt idx="0">
                  <c:v>Dot &amp; Key</c:v>
                </c:pt>
                <c:pt idx="1">
                  <c:v>Lakme</c:v>
                </c:pt>
                <c:pt idx="2">
                  <c:v>Mamaearth</c:v>
                </c:pt>
                <c:pt idx="3">
                  <c:v>Maybelline</c:v>
                </c:pt>
                <c:pt idx="4">
                  <c:v>Minimalist</c:v>
                </c:pt>
                <c:pt idx="5">
                  <c:v>Nykaa</c:v>
                </c:pt>
                <c:pt idx="6">
                  <c:v>Plum</c:v>
                </c:pt>
              </c:strCache>
            </c:strRef>
          </c:cat>
          <c:val>
            <c:numRef>
              <c:f>Sheet6!$B$4:$B$11</c:f>
              <c:numCache>
                <c:formatCode>General</c:formatCode>
                <c:ptCount val="7"/>
                <c:pt idx="0">
                  <c:v>2196.0700000000002</c:v>
                </c:pt>
                <c:pt idx="1">
                  <c:v>1651.42</c:v>
                </c:pt>
                <c:pt idx="2">
                  <c:v>1549.8700000000001</c:v>
                </c:pt>
                <c:pt idx="3">
                  <c:v>2742.99</c:v>
                </c:pt>
                <c:pt idx="4">
                  <c:v>1645.4</c:v>
                </c:pt>
                <c:pt idx="5">
                  <c:v>2260.67</c:v>
                </c:pt>
                <c:pt idx="6">
                  <c:v>1205.2099999999998</c:v>
                </c:pt>
              </c:numCache>
            </c:numRef>
          </c:val>
          <c:extLst>
            <c:ext xmlns:c16="http://schemas.microsoft.com/office/drawing/2014/chart" uri="{C3380CC4-5D6E-409C-BE32-E72D297353CC}">
              <c16:uniqueId val="{00000000-0F6B-427B-97B7-80CD8A8296E9}"/>
            </c:ext>
          </c:extLst>
        </c:ser>
        <c:dLbls>
          <c:showLegendKey val="0"/>
          <c:showVal val="0"/>
          <c:showCatName val="0"/>
          <c:showSerName val="0"/>
          <c:showPercent val="0"/>
          <c:showBubbleSize val="0"/>
        </c:dLbls>
        <c:gapWidth val="182"/>
        <c:axId val="1171253455"/>
        <c:axId val="1171257295"/>
      </c:barChart>
      <c:catAx>
        <c:axId val="117125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57295"/>
        <c:crosses val="autoZero"/>
        <c:auto val="1"/>
        <c:lblAlgn val="ctr"/>
        <c:lblOffset val="100"/>
        <c:noMultiLvlLbl val="0"/>
      </c:catAx>
      <c:valAx>
        <c:axId val="117125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5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6F-48E9-8B2F-044C44EE64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6F-48E9-8B2F-044C44EE64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6F-48E9-8B2F-044C44EE64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6F-48E9-8B2F-044C44EE64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6F-48E9-8B2F-044C44EE6491}"/>
              </c:ext>
            </c:extLst>
          </c:dPt>
          <c:cat>
            <c:strRef>
              <c:f>Sheet7!$A$4:$A$9</c:f>
              <c:strCache>
                <c:ptCount val="5"/>
                <c:pt idx="0">
                  <c:v>Combination</c:v>
                </c:pt>
                <c:pt idx="1">
                  <c:v>Dry</c:v>
                </c:pt>
                <c:pt idx="2">
                  <c:v>Normal</c:v>
                </c:pt>
                <c:pt idx="3">
                  <c:v>Oily</c:v>
                </c:pt>
                <c:pt idx="4">
                  <c:v>Sensitive</c:v>
                </c:pt>
              </c:strCache>
            </c:strRef>
          </c:cat>
          <c:val>
            <c:numRef>
              <c:f>Sheet7!$B$4:$B$9</c:f>
              <c:numCache>
                <c:formatCode>General</c:formatCode>
                <c:ptCount val="5"/>
                <c:pt idx="0">
                  <c:v>34</c:v>
                </c:pt>
                <c:pt idx="1">
                  <c:v>36</c:v>
                </c:pt>
                <c:pt idx="2">
                  <c:v>42</c:v>
                </c:pt>
                <c:pt idx="3">
                  <c:v>45</c:v>
                </c:pt>
                <c:pt idx="4">
                  <c:v>43</c:v>
                </c:pt>
              </c:numCache>
            </c:numRef>
          </c:val>
          <c:extLst>
            <c:ext xmlns:c16="http://schemas.microsoft.com/office/drawing/2014/chart" uri="{C3380CC4-5D6E-409C-BE32-E72D297353CC}">
              <c16:uniqueId val="{00000000-2825-410B-B223-6C21FE91D8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Sheet8!$A$4:$A$11</c:f>
              <c:strCache>
                <c:ptCount val="7"/>
                <c:pt idx="0">
                  <c:v>Bengaluru</c:v>
                </c:pt>
                <c:pt idx="1">
                  <c:v>Chennai</c:v>
                </c:pt>
                <c:pt idx="2">
                  <c:v>Coimbatore</c:v>
                </c:pt>
                <c:pt idx="3">
                  <c:v>Delhi</c:v>
                </c:pt>
                <c:pt idx="4">
                  <c:v>Hyderabad</c:v>
                </c:pt>
                <c:pt idx="5">
                  <c:v>Kochi</c:v>
                </c:pt>
                <c:pt idx="6">
                  <c:v>Mumbai</c:v>
                </c:pt>
              </c:strCache>
            </c:strRef>
          </c:cat>
          <c:val>
            <c:numRef>
              <c:f>Sheet8!$B$4:$B$11</c:f>
              <c:numCache>
                <c:formatCode>General</c:formatCode>
                <c:ptCount val="7"/>
                <c:pt idx="0">
                  <c:v>1839.9100000000003</c:v>
                </c:pt>
                <c:pt idx="1">
                  <c:v>1634.4400000000007</c:v>
                </c:pt>
                <c:pt idx="2">
                  <c:v>1039.5</c:v>
                </c:pt>
                <c:pt idx="3">
                  <c:v>1847.7699999999998</c:v>
                </c:pt>
                <c:pt idx="4">
                  <c:v>2948.2200000000003</c:v>
                </c:pt>
                <c:pt idx="5">
                  <c:v>2449.23</c:v>
                </c:pt>
                <c:pt idx="6">
                  <c:v>1492.5599999999997</c:v>
                </c:pt>
              </c:numCache>
            </c:numRef>
          </c:val>
          <c:smooth val="0"/>
          <c:extLst>
            <c:ext xmlns:c16="http://schemas.microsoft.com/office/drawing/2014/chart" uri="{C3380CC4-5D6E-409C-BE32-E72D297353CC}">
              <c16:uniqueId val="{00000000-6111-4779-9598-A267361883AE}"/>
            </c:ext>
          </c:extLst>
        </c:ser>
        <c:dLbls>
          <c:showLegendKey val="0"/>
          <c:showVal val="0"/>
          <c:showCatName val="0"/>
          <c:showSerName val="0"/>
          <c:showPercent val="0"/>
          <c:showBubbleSize val="0"/>
        </c:dLbls>
        <c:smooth val="0"/>
        <c:axId val="1171259215"/>
        <c:axId val="1062949391"/>
      </c:lineChart>
      <c:catAx>
        <c:axId val="11712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49391"/>
        <c:crosses val="autoZero"/>
        <c:auto val="1"/>
        <c:lblAlgn val="ctr"/>
        <c:lblOffset val="100"/>
        <c:noMultiLvlLbl val="0"/>
      </c:catAx>
      <c:valAx>
        <c:axId val="10629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5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Sheet12!$A$4:$A$6</c:f>
              <c:strCache>
                <c:ptCount val="2"/>
                <c:pt idx="0">
                  <c:v>Female</c:v>
                </c:pt>
                <c:pt idx="1">
                  <c:v>Male</c:v>
                </c:pt>
              </c:strCache>
            </c:strRef>
          </c:cat>
          <c:val>
            <c:numRef>
              <c:f>Sheet12!$B$4:$B$6</c:f>
              <c:numCache>
                <c:formatCode>General</c:formatCode>
                <c:ptCount val="2"/>
                <c:pt idx="0">
                  <c:v>7988.5999999999967</c:v>
                </c:pt>
                <c:pt idx="1">
                  <c:v>5263.03</c:v>
                </c:pt>
              </c:numCache>
            </c:numRef>
          </c:val>
          <c:extLst>
            <c:ext xmlns:c16="http://schemas.microsoft.com/office/drawing/2014/chart" uri="{C3380CC4-5D6E-409C-BE32-E72D297353CC}">
              <c16:uniqueId val="{00000000-7758-49A7-9FC0-B89261B48B4E}"/>
            </c:ext>
          </c:extLst>
        </c:ser>
        <c:dLbls>
          <c:showLegendKey val="0"/>
          <c:showVal val="0"/>
          <c:showCatName val="0"/>
          <c:showSerName val="0"/>
          <c:showPercent val="0"/>
          <c:showBubbleSize val="0"/>
        </c:dLbls>
        <c:axId val="1333865968"/>
        <c:axId val="1333859728"/>
      </c:radarChart>
      <c:catAx>
        <c:axId val="133386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859728"/>
        <c:crosses val="autoZero"/>
        <c:auto val="1"/>
        <c:lblAlgn val="ctr"/>
        <c:lblOffset val="100"/>
        <c:noMultiLvlLbl val="0"/>
      </c:catAx>
      <c:valAx>
        <c:axId val="133385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86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latin typeface="Arial Black" panose="020B0A04020102020204" pitchFamily="34" charset="0"/>
              </a:rPr>
              <a:t>Revenue by Product Category</a:t>
            </a:r>
            <a:endParaRPr lang="en-IN" sz="1800" b="1">
              <a:latin typeface="Arial Black" panose="020B0A04020102020204" pitchFamily="34" charset="0"/>
            </a:endParaRPr>
          </a:p>
        </c:rich>
      </c:tx>
      <c:layout>
        <c:manualLayout>
          <c:xMode val="edge"/>
          <c:yMode val="edge"/>
          <c:x val="0.28466884426374139"/>
          <c:y val="6.602224494221892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4"/>
            </a:solidFill>
            <a:ln>
              <a:noFill/>
            </a:ln>
            <a:effectLst/>
          </c:spPr>
          <c:invertIfNegative val="0"/>
          <c:cat>
            <c:strRef>
              <c:f>Sheet5!$A$4:$A$7</c:f>
              <c:strCache>
                <c:ptCount val="3"/>
                <c:pt idx="0">
                  <c:v>Haircare</c:v>
                </c:pt>
                <c:pt idx="1">
                  <c:v>Makeup</c:v>
                </c:pt>
                <c:pt idx="2">
                  <c:v>Skincare</c:v>
                </c:pt>
              </c:strCache>
            </c:strRef>
          </c:cat>
          <c:val>
            <c:numRef>
              <c:f>Sheet5!$B$4:$B$7</c:f>
              <c:numCache>
                <c:formatCode>General</c:formatCode>
                <c:ptCount val="3"/>
                <c:pt idx="0">
                  <c:v>4868.2800000000007</c:v>
                </c:pt>
                <c:pt idx="1">
                  <c:v>3808.57</c:v>
                </c:pt>
                <c:pt idx="2">
                  <c:v>4574.7800000000016</c:v>
                </c:pt>
              </c:numCache>
            </c:numRef>
          </c:val>
          <c:extLst>
            <c:ext xmlns:c16="http://schemas.microsoft.com/office/drawing/2014/chart" uri="{C3380CC4-5D6E-409C-BE32-E72D297353CC}">
              <c16:uniqueId val="{00000000-BDCA-4FBB-A5B5-D15085D5D5F4}"/>
            </c:ext>
          </c:extLst>
        </c:ser>
        <c:dLbls>
          <c:showLegendKey val="0"/>
          <c:showVal val="0"/>
          <c:showCatName val="0"/>
          <c:showSerName val="0"/>
          <c:showPercent val="0"/>
          <c:showBubbleSize val="0"/>
        </c:dLbls>
        <c:gapWidth val="219"/>
        <c:overlap val="-27"/>
        <c:axId val="1171245295"/>
        <c:axId val="1171230415"/>
      </c:barChart>
      <c:catAx>
        <c:axId val="11712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1230415"/>
        <c:crosses val="autoZero"/>
        <c:auto val="1"/>
        <c:lblAlgn val="ctr"/>
        <c:lblOffset val="100"/>
        <c:noMultiLvlLbl val="0"/>
      </c:catAx>
      <c:valAx>
        <c:axId val="11712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12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latin typeface="Arial Black" panose="020B0A04020102020204" pitchFamily="34" charset="0"/>
              </a:rPr>
              <a:t>Customers by Skin Type</a:t>
            </a:r>
            <a:endParaRPr lang="en-US" sz="2000" b="1">
              <a:latin typeface="Arial Black" panose="020B0A04020102020204" pitchFamily="34"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1D88-41D0-81B0-FD639ECC8FDB}"/>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1D88-41D0-81B0-FD639ECC8FD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D88-41D0-81B0-FD639ECC8FDB}"/>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1D88-41D0-81B0-FD639ECC8FDB}"/>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1D88-41D0-81B0-FD639ECC8FDB}"/>
              </c:ext>
            </c:extLst>
          </c:dPt>
          <c:cat>
            <c:strRef>
              <c:f>Sheet7!$A$4:$A$9</c:f>
              <c:strCache>
                <c:ptCount val="5"/>
                <c:pt idx="0">
                  <c:v>Combination</c:v>
                </c:pt>
                <c:pt idx="1">
                  <c:v>Dry</c:v>
                </c:pt>
                <c:pt idx="2">
                  <c:v>Normal</c:v>
                </c:pt>
                <c:pt idx="3">
                  <c:v>Oily</c:v>
                </c:pt>
                <c:pt idx="4">
                  <c:v>Sensitive</c:v>
                </c:pt>
              </c:strCache>
            </c:strRef>
          </c:cat>
          <c:val>
            <c:numRef>
              <c:f>Sheet7!$B$4:$B$9</c:f>
              <c:numCache>
                <c:formatCode>General</c:formatCode>
                <c:ptCount val="5"/>
                <c:pt idx="0">
                  <c:v>34</c:v>
                </c:pt>
                <c:pt idx="1">
                  <c:v>36</c:v>
                </c:pt>
                <c:pt idx="2">
                  <c:v>42</c:v>
                </c:pt>
                <c:pt idx="3">
                  <c:v>45</c:v>
                </c:pt>
                <c:pt idx="4">
                  <c:v>43</c:v>
                </c:pt>
              </c:numCache>
            </c:numRef>
          </c:val>
          <c:extLst>
            <c:ext xmlns:c16="http://schemas.microsoft.com/office/drawing/2014/chart" uri="{C3380CC4-5D6E-409C-BE32-E72D297353CC}">
              <c16:uniqueId val="{0000000A-1D88-41D0-81B0-FD639ECC8F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project.xlsx]Sheet8!PivotTable6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000" b="0" i="0" u="none" strike="noStrike" kern="1200" spc="0" baseline="0">
                <a:solidFill>
                  <a:sysClr val="windowText" lastClr="000000">
                    <a:lumMod val="65000"/>
                    <a:lumOff val="35000"/>
                  </a:sysClr>
                </a:solidFill>
                <a:latin typeface="Arial Black" panose="020B0A04020102020204" pitchFamily="34" charset="0"/>
              </a:rPr>
              <a:t>Revenue by City</a:t>
            </a:r>
            <a:endParaRPr lang="en-US" sz="2000" b="0" i="0" u="none" strike="noStrike" kern="1200" spc="0" baseline="0">
              <a:solidFill>
                <a:sysClr val="windowText" lastClr="000000">
                  <a:lumMod val="65000"/>
                  <a:lumOff val="35000"/>
                </a:sysClr>
              </a:solidFill>
              <a:latin typeface="Arial Black" panose="020B0A04020102020204" pitchFamily="34" charset="0"/>
            </a:endParaRPr>
          </a:p>
        </c:rich>
      </c:tx>
      <c:layout>
        <c:manualLayout>
          <c:xMode val="edge"/>
          <c:yMode val="edge"/>
          <c:x val="0.35731498313444365"/>
          <c:y val="3.1014697520547242E-2"/>
        </c:manualLayout>
      </c:layout>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4"/>
              </a:solidFill>
              <a:round/>
            </a:ln>
            <a:effectLst/>
          </c:spPr>
          <c:marker>
            <c:symbol val="none"/>
          </c:marker>
          <c:cat>
            <c:strRef>
              <c:f>Sheet8!$A$4:$A$11</c:f>
              <c:strCache>
                <c:ptCount val="7"/>
                <c:pt idx="0">
                  <c:v>Bengaluru</c:v>
                </c:pt>
                <c:pt idx="1">
                  <c:v>Chennai</c:v>
                </c:pt>
                <c:pt idx="2">
                  <c:v>Coimbatore</c:v>
                </c:pt>
                <c:pt idx="3">
                  <c:v>Delhi</c:v>
                </c:pt>
                <c:pt idx="4">
                  <c:v>Hyderabad</c:v>
                </c:pt>
                <c:pt idx="5">
                  <c:v>Kochi</c:v>
                </c:pt>
                <c:pt idx="6">
                  <c:v>Mumbai</c:v>
                </c:pt>
              </c:strCache>
            </c:strRef>
          </c:cat>
          <c:val>
            <c:numRef>
              <c:f>Sheet8!$B$4:$B$11</c:f>
              <c:numCache>
                <c:formatCode>General</c:formatCode>
                <c:ptCount val="7"/>
                <c:pt idx="0">
                  <c:v>1839.9100000000003</c:v>
                </c:pt>
                <c:pt idx="1">
                  <c:v>1634.4400000000007</c:v>
                </c:pt>
                <c:pt idx="2">
                  <c:v>1039.5</c:v>
                </c:pt>
                <c:pt idx="3">
                  <c:v>1847.7699999999998</c:v>
                </c:pt>
                <c:pt idx="4">
                  <c:v>2948.2200000000003</c:v>
                </c:pt>
                <c:pt idx="5">
                  <c:v>2449.23</c:v>
                </c:pt>
                <c:pt idx="6">
                  <c:v>1492.5599999999997</c:v>
                </c:pt>
              </c:numCache>
            </c:numRef>
          </c:val>
          <c:smooth val="0"/>
          <c:extLst>
            <c:ext xmlns:c16="http://schemas.microsoft.com/office/drawing/2014/chart" uri="{C3380CC4-5D6E-409C-BE32-E72D297353CC}">
              <c16:uniqueId val="{00000000-4507-45BA-B6AB-5FA9AE94C0CE}"/>
            </c:ext>
          </c:extLst>
        </c:ser>
        <c:dLbls>
          <c:showLegendKey val="0"/>
          <c:showVal val="0"/>
          <c:showCatName val="0"/>
          <c:showSerName val="0"/>
          <c:showPercent val="0"/>
          <c:showBubbleSize val="0"/>
        </c:dLbls>
        <c:smooth val="0"/>
        <c:axId val="1171259215"/>
        <c:axId val="1062949391"/>
      </c:lineChart>
      <c:catAx>
        <c:axId val="11712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062949391"/>
        <c:crosses val="autoZero"/>
        <c:auto val="1"/>
        <c:lblAlgn val="ctr"/>
        <c:lblOffset val="100"/>
        <c:noMultiLvlLbl val="0"/>
      </c:catAx>
      <c:valAx>
        <c:axId val="10629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125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project.xlsx]Sheet12!PivotTable10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latin typeface="Arial Black" panose="020B0A04020102020204" pitchFamily="34" charset="0"/>
              </a:rPr>
              <a:t>Revenue by Gender</a:t>
            </a:r>
          </a:p>
        </c:rich>
      </c:tx>
      <c:layout>
        <c:manualLayout>
          <c:xMode val="edge"/>
          <c:yMode val="edge"/>
          <c:x val="0.3111363586742279"/>
          <c:y val="3.447739174627863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Sheet12!$B$3</c:f>
              <c:strCache>
                <c:ptCount val="1"/>
                <c:pt idx="0">
                  <c:v>Total</c:v>
                </c:pt>
              </c:strCache>
            </c:strRef>
          </c:tx>
          <c:spPr>
            <a:ln w="28575" cap="rnd">
              <a:solidFill>
                <a:schemeClr val="accent4"/>
              </a:solidFill>
              <a:round/>
            </a:ln>
            <a:effectLst/>
          </c:spPr>
          <c:marker>
            <c:symbol val="none"/>
          </c:marker>
          <c:cat>
            <c:strRef>
              <c:f>Sheet12!$A$4:$A$6</c:f>
              <c:strCache>
                <c:ptCount val="2"/>
                <c:pt idx="0">
                  <c:v>Female</c:v>
                </c:pt>
                <c:pt idx="1">
                  <c:v>Male</c:v>
                </c:pt>
              </c:strCache>
            </c:strRef>
          </c:cat>
          <c:val>
            <c:numRef>
              <c:f>Sheet12!$B$4:$B$6</c:f>
              <c:numCache>
                <c:formatCode>General</c:formatCode>
                <c:ptCount val="2"/>
                <c:pt idx="0">
                  <c:v>7988.5999999999967</c:v>
                </c:pt>
                <c:pt idx="1">
                  <c:v>5263.03</c:v>
                </c:pt>
              </c:numCache>
            </c:numRef>
          </c:val>
          <c:extLst>
            <c:ext xmlns:c16="http://schemas.microsoft.com/office/drawing/2014/chart" uri="{C3380CC4-5D6E-409C-BE32-E72D297353CC}">
              <c16:uniqueId val="{00000000-F916-4466-A303-B3BF3F127646}"/>
            </c:ext>
          </c:extLst>
        </c:ser>
        <c:dLbls>
          <c:showLegendKey val="0"/>
          <c:showVal val="0"/>
          <c:showCatName val="0"/>
          <c:showSerName val="0"/>
          <c:showPercent val="0"/>
          <c:showBubbleSize val="0"/>
        </c:dLbls>
        <c:axId val="1333865968"/>
        <c:axId val="1333859728"/>
      </c:radarChart>
      <c:catAx>
        <c:axId val="133386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859728"/>
        <c:crosses val="autoZero"/>
        <c:auto val="1"/>
        <c:lblAlgn val="ctr"/>
        <c:lblOffset val="100"/>
        <c:noMultiLvlLbl val="0"/>
      </c:catAx>
      <c:valAx>
        <c:axId val="133385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33386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project.xlsx]Sheet6!PivotTable4</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latin typeface="Arial Black" panose="020B0A04020102020204" pitchFamily="34" charset="0"/>
              </a:rPr>
              <a:t>Top 5 Brands</a:t>
            </a:r>
            <a:endParaRPr lang="en-IN" sz="2000" b="1">
              <a:latin typeface="Arial Black" panose="020B0A04020102020204" pitchFamily="34" charset="0"/>
            </a:endParaRPr>
          </a:p>
        </c:rich>
      </c:tx>
      <c:layout>
        <c:manualLayout>
          <c:xMode val="edge"/>
          <c:yMode val="edge"/>
          <c:x val="0.47708163883916238"/>
          <c:y val="5.9370758525492263E-2"/>
        </c:manualLayout>
      </c:layout>
      <c:overlay val="0"/>
      <c:spPr>
        <a:solidFill>
          <a:schemeClr val="bg1"/>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4"/>
            </a:solidFill>
            <a:ln>
              <a:noFill/>
            </a:ln>
            <a:effectLst/>
          </c:spPr>
          <c:invertIfNegative val="0"/>
          <c:cat>
            <c:strRef>
              <c:f>Sheet6!$A$4:$A$11</c:f>
              <c:strCache>
                <c:ptCount val="7"/>
                <c:pt idx="0">
                  <c:v>Dot &amp; Key</c:v>
                </c:pt>
                <c:pt idx="1">
                  <c:v>Lakme</c:v>
                </c:pt>
                <c:pt idx="2">
                  <c:v>Mamaearth</c:v>
                </c:pt>
                <c:pt idx="3">
                  <c:v>Maybelline</c:v>
                </c:pt>
                <c:pt idx="4">
                  <c:v>Minimalist</c:v>
                </c:pt>
                <c:pt idx="5">
                  <c:v>Nykaa</c:v>
                </c:pt>
                <c:pt idx="6">
                  <c:v>Plum</c:v>
                </c:pt>
              </c:strCache>
            </c:strRef>
          </c:cat>
          <c:val>
            <c:numRef>
              <c:f>Sheet6!$B$4:$B$11</c:f>
              <c:numCache>
                <c:formatCode>General</c:formatCode>
                <c:ptCount val="7"/>
                <c:pt idx="0">
                  <c:v>2196.0700000000002</c:v>
                </c:pt>
                <c:pt idx="1">
                  <c:v>1651.42</c:v>
                </c:pt>
                <c:pt idx="2">
                  <c:v>1549.8700000000001</c:v>
                </c:pt>
                <c:pt idx="3">
                  <c:v>2742.99</c:v>
                </c:pt>
                <c:pt idx="4">
                  <c:v>1645.4</c:v>
                </c:pt>
                <c:pt idx="5">
                  <c:v>2260.67</c:v>
                </c:pt>
                <c:pt idx="6">
                  <c:v>1205.2099999999998</c:v>
                </c:pt>
              </c:numCache>
            </c:numRef>
          </c:val>
          <c:extLst>
            <c:ext xmlns:c16="http://schemas.microsoft.com/office/drawing/2014/chart" uri="{C3380CC4-5D6E-409C-BE32-E72D297353CC}">
              <c16:uniqueId val="{00000000-08E0-447D-80FD-F87D4E72E17E}"/>
            </c:ext>
          </c:extLst>
        </c:ser>
        <c:dLbls>
          <c:showLegendKey val="0"/>
          <c:showVal val="0"/>
          <c:showCatName val="0"/>
          <c:showSerName val="0"/>
          <c:showPercent val="0"/>
          <c:showBubbleSize val="0"/>
        </c:dLbls>
        <c:gapWidth val="182"/>
        <c:axId val="1171253455"/>
        <c:axId val="1171257295"/>
      </c:barChart>
      <c:catAx>
        <c:axId val="117125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1257295"/>
        <c:crosses val="autoZero"/>
        <c:auto val="1"/>
        <c:lblAlgn val="ctr"/>
        <c:lblOffset val="100"/>
        <c:noMultiLvlLbl val="0"/>
      </c:catAx>
      <c:valAx>
        <c:axId val="117125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125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jpg"/><Relationship Id="rId3" Type="http://schemas.openxmlformats.org/officeDocument/2006/relationships/chart" Target="../charts/chart8.xml"/><Relationship Id="rId7" Type="http://schemas.openxmlformats.org/officeDocument/2006/relationships/image" Target="../media/image2.jpg"/><Relationship Id="rId12" Type="http://schemas.openxmlformats.org/officeDocument/2006/relationships/image" Target="../media/image7.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11" Type="http://schemas.openxmlformats.org/officeDocument/2006/relationships/image" Target="../media/image6.jpg"/><Relationship Id="rId5" Type="http://schemas.openxmlformats.org/officeDocument/2006/relationships/chart" Target="../charts/chart10.xml"/><Relationship Id="rId10" Type="http://schemas.openxmlformats.org/officeDocument/2006/relationships/image" Target="../media/image5.jpg"/><Relationship Id="rId4" Type="http://schemas.openxmlformats.org/officeDocument/2006/relationships/chart" Target="../charts/chart9.xml"/><Relationship Id="rId9" Type="http://schemas.openxmlformats.org/officeDocument/2006/relationships/image" Target="../media/image4.jpg"/><Relationship Id="rId14"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13</xdr:col>
      <xdr:colOff>106680</xdr:colOff>
      <xdr:row>21</xdr:row>
      <xdr:rowOff>38100</xdr:rowOff>
    </xdr:to>
    <xdr:graphicFrame macro="">
      <xdr:nvGraphicFramePr>
        <xdr:cNvPr id="2" name="Chart 1">
          <a:extLst>
            <a:ext uri="{FF2B5EF4-FFF2-40B4-BE49-F238E27FC236}">
              <a16:creationId xmlns:a16="http://schemas.microsoft.com/office/drawing/2014/main" id="{7C67F081-8C53-8568-B1B9-D2E710FB6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05660E6E-25CC-F8A4-CB68-514F1E629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D4E5E74A-9FC9-F585-C7CD-7F83D7148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730BDA51-B95A-D9ED-32F6-A9A00A8DC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144780</xdr:colOff>
      <xdr:row>20</xdr:row>
      <xdr:rowOff>152400</xdr:rowOff>
    </xdr:to>
    <xdr:graphicFrame macro="">
      <xdr:nvGraphicFramePr>
        <xdr:cNvPr id="2" name="Chart 1">
          <a:extLst>
            <a:ext uri="{FF2B5EF4-FFF2-40B4-BE49-F238E27FC236}">
              <a16:creationId xmlns:a16="http://schemas.microsoft.com/office/drawing/2014/main" id="{31977E69-74D6-F7F8-8BC5-3FB91C27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389108</xdr:colOff>
      <xdr:row>0</xdr:row>
      <xdr:rowOff>0</xdr:rowOff>
    </xdr:from>
    <xdr:to>
      <xdr:col>45</xdr:col>
      <xdr:colOff>0</xdr:colOff>
      <xdr:row>5</xdr:row>
      <xdr:rowOff>48638</xdr:rowOff>
    </xdr:to>
    <xdr:sp macro="" textlink="">
      <xdr:nvSpPr>
        <xdr:cNvPr id="2" name="Rectangle 1">
          <a:extLst>
            <a:ext uri="{FF2B5EF4-FFF2-40B4-BE49-F238E27FC236}">
              <a16:creationId xmlns:a16="http://schemas.microsoft.com/office/drawing/2014/main" id="{FF7D5F53-C463-1BBF-18C6-8B98C65F3DEF}"/>
            </a:ext>
          </a:extLst>
        </xdr:cNvPr>
        <xdr:cNvSpPr/>
      </xdr:nvSpPr>
      <xdr:spPr>
        <a:xfrm>
          <a:off x="2237363" y="0"/>
          <a:ext cx="25421616" cy="94034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Arial Black" panose="020B0A04020102020204" pitchFamily="34" charset="0"/>
            </a:rPr>
            <a:t>COSMETICS SALES DASHBOARD</a:t>
          </a:r>
        </a:p>
      </xdr:txBody>
    </xdr:sp>
    <xdr:clientData/>
  </xdr:twoCellAnchor>
  <xdr:twoCellAnchor>
    <xdr:from>
      <xdr:col>7</xdr:col>
      <xdr:colOff>324256</xdr:colOff>
      <xdr:row>6</xdr:row>
      <xdr:rowOff>-1</xdr:rowOff>
    </xdr:from>
    <xdr:to>
      <xdr:col>15</xdr:col>
      <xdr:colOff>543891</xdr:colOff>
      <xdr:row>12</xdr:row>
      <xdr:rowOff>97276</xdr:rowOff>
    </xdr:to>
    <xdr:sp macro="" textlink="">
      <xdr:nvSpPr>
        <xdr:cNvPr id="3" name="Rectangle: Rounded Corners 2">
          <a:extLst>
            <a:ext uri="{FF2B5EF4-FFF2-40B4-BE49-F238E27FC236}">
              <a16:creationId xmlns:a16="http://schemas.microsoft.com/office/drawing/2014/main" id="{D5C26C4D-CC5F-FEB2-E606-310316BE66BC}"/>
            </a:ext>
          </a:extLst>
        </xdr:cNvPr>
        <xdr:cNvSpPr/>
      </xdr:nvSpPr>
      <xdr:spPr>
        <a:xfrm>
          <a:off x="4636852" y="1070042"/>
          <a:ext cx="5148316" cy="1167319"/>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Arial Black" panose="020B0A04020102020204" pitchFamily="34" charset="0"/>
            </a:rPr>
            <a:t>TOTAL REVENUE</a:t>
          </a:r>
        </a:p>
        <a:p>
          <a:pPr algn="ctr"/>
          <a:r>
            <a:rPr lang="en-IN" sz="2400" b="1">
              <a:latin typeface="Arial Black" panose="020B0A04020102020204" pitchFamily="34" charset="0"/>
            </a:rPr>
            <a:t>$57,480</a:t>
          </a:r>
        </a:p>
      </xdr:txBody>
    </xdr:sp>
    <xdr:clientData/>
  </xdr:twoCellAnchor>
  <xdr:twoCellAnchor>
    <xdr:from>
      <xdr:col>33</xdr:col>
      <xdr:colOff>113489</xdr:colOff>
      <xdr:row>5</xdr:row>
      <xdr:rowOff>159069</xdr:rowOff>
    </xdr:from>
    <xdr:to>
      <xdr:col>41</xdr:col>
      <xdr:colOff>48639</xdr:colOff>
      <xdr:row>13</xdr:row>
      <xdr:rowOff>48638</xdr:rowOff>
    </xdr:to>
    <xdr:sp macro="" textlink="">
      <xdr:nvSpPr>
        <xdr:cNvPr id="4" name="Rectangle: Rounded Corners 3">
          <a:extLst>
            <a:ext uri="{FF2B5EF4-FFF2-40B4-BE49-F238E27FC236}">
              <a16:creationId xmlns:a16="http://schemas.microsoft.com/office/drawing/2014/main" id="{60F4EA1E-AFF5-4D24-9E17-2DA329728018}"/>
            </a:ext>
          </a:extLst>
        </xdr:cNvPr>
        <xdr:cNvSpPr/>
      </xdr:nvSpPr>
      <xdr:spPr>
        <a:xfrm>
          <a:off x="20444298" y="1050771"/>
          <a:ext cx="4831405" cy="1316293"/>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rial Black" panose="020B0A04020102020204" pitchFamily="34" charset="0"/>
            </a:rPr>
            <a:t>                   TOTAL</a:t>
          </a:r>
          <a:r>
            <a:rPr lang="en-IN" sz="2000" baseline="0">
              <a:latin typeface="Arial Black" panose="020B0A04020102020204" pitchFamily="34" charset="0"/>
            </a:rPr>
            <a:t> CUSTOMERS</a:t>
          </a:r>
        </a:p>
        <a:p>
          <a:pPr algn="ctr"/>
          <a:r>
            <a:rPr lang="en-IN" sz="2000" baseline="0">
              <a:latin typeface="Arial Black" panose="020B0A04020102020204" pitchFamily="34" charset="0"/>
            </a:rPr>
            <a:t>          200</a:t>
          </a:r>
        </a:p>
        <a:p>
          <a:pPr algn="l"/>
          <a:endParaRPr lang="en-IN" sz="1100"/>
        </a:p>
      </xdr:txBody>
    </xdr:sp>
    <xdr:clientData/>
  </xdr:twoCellAnchor>
  <xdr:twoCellAnchor>
    <xdr:from>
      <xdr:col>16</xdr:col>
      <xdr:colOff>87487</xdr:colOff>
      <xdr:row>5</xdr:row>
      <xdr:rowOff>156622</xdr:rowOff>
    </xdr:from>
    <xdr:to>
      <xdr:col>24</xdr:col>
      <xdr:colOff>210766</xdr:colOff>
      <xdr:row>12</xdr:row>
      <xdr:rowOff>129702</xdr:rowOff>
    </xdr:to>
    <xdr:sp macro="" textlink="">
      <xdr:nvSpPr>
        <xdr:cNvPr id="5" name="Rectangle: Rounded Corners 4">
          <a:extLst>
            <a:ext uri="{FF2B5EF4-FFF2-40B4-BE49-F238E27FC236}">
              <a16:creationId xmlns:a16="http://schemas.microsoft.com/office/drawing/2014/main" id="{8E238C50-B1EC-4990-80E5-87137C319C44}"/>
            </a:ext>
          </a:extLst>
        </xdr:cNvPr>
        <xdr:cNvSpPr/>
      </xdr:nvSpPr>
      <xdr:spPr>
        <a:xfrm>
          <a:off x="9944849" y="1048324"/>
          <a:ext cx="5051960" cy="1221463"/>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Arial Black" panose="020B0A04020102020204" pitchFamily="34" charset="0"/>
            </a:rPr>
            <a:t>           TOTAL QUANTITY SOLD</a:t>
          </a:r>
        </a:p>
        <a:p>
          <a:pPr algn="ctr"/>
          <a:r>
            <a:rPr lang="en-IN" sz="2000" b="1">
              <a:latin typeface="Arial Black" panose="020B0A04020102020204" pitchFamily="34" charset="0"/>
            </a:rPr>
            <a:t>2,452</a:t>
          </a:r>
        </a:p>
        <a:p>
          <a:pPr algn="ctr"/>
          <a:endParaRPr lang="en-IN" sz="1400" b="1">
            <a:latin typeface="Arial Black" panose="020B0A04020102020204" pitchFamily="34" charset="0"/>
          </a:endParaRPr>
        </a:p>
      </xdr:txBody>
    </xdr:sp>
    <xdr:clientData/>
  </xdr:twoCellAnchor>
  <xdr:twoCellAnchor>
    <xdr:from>
      <xdr:col>24</xdr:col>
      <xdr:colOff>405318</xdr:colOff>
      <xdr:row>5</xdr:row>
      <xdr:rowOff>160196</xdr:rowOff>
    </xdr:from>
    <xdr:to>
      <xdr:col>32</xdr:col>
      <xdr:colOff>551233</xdr:colOff>
      <xdr:row>12</xdr:row>
      <xdr:rowOff>162128</xdr:rowOff>
    </xdr:to>
    <xdr:sp macro="" textlink="">
      <xdr:nvSpPr>
        <xdr:cNvPr id="6" name="Rectangle: Rounded Corners 5">
          <a:extLst>
            <a:ext uri="{FF2B5EF4-FFF2-40B4-BE49-F238E27FC236}">
              <a16:creationId xmlns:a16="http://schemas.microsoft.com/office/drawing/2014/main" id="{85AA6D72-716B-4B6B-A696-49A9620F3B23}"/>
            </a:ext>
          </a:extLst>
        </xdr:cNvPr>
        <xdr:cNvSpPr/>
      </xdr:nvSpPr>
      <xdr:spPr>
        <a:xfrm>
          <a:off x="15191361" y="1051898"/>
          <a:ext cx="5074595" cy="1250315"/>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rial Black" panose="020B0A04020102020204" pitchFamily="34" charset="0"/>
            </a:rPr>
            <a:t>        AVERAGE</a:t>
          </a:r>
          <a:r>
            <a:rPr lang="en-IN" sz="2000" baseline="0">
              <a:latin typeface="Arial Black" panose="020B0A04020102020204" pitchFamily="34" charset="0"/>
            </a:rPr>
            <a:t> RATING</a:t>
          </a:r>
        </a:p>
        <a:p>
          <a:pPr algn="ctr"/>
          <a:r>
            <a:rPr lang="en-IN" sz="2000" baseline="0">
              <a:latin typeface="Arial Black" panose="020B0A04020102020204" pitchFamily="34" charset="0"/>
            </a:rPr>
            <a:t>4.31</a:t>
          </a:r>
          <a:endParaRPr lang="en-IN" sz="2000">
            <a:latin typeface="Arial Black" panose="020B0A04020102020204" pitchFamily="34" charset="0"/>
          </a:endParaRPr>
        </a:p>
      </xdr:txBody>
    </xdr:sp>
    <xdr:clientData/>
  </xdr:twoCellAnchor>
  <xdr:twoCellAnchor>
    <xdr:from>
      <xdr:col>3</xdr:col>
      <xdr:colOff>324256</xdr:colOff>
      <xdr:row>13</xdr:row>
      <xdr:rowOff>64850</xdr:rowOff>
    </xdr:from>
    <xdr:to>
      <xdr:col>19</xdr:col>
      <xdr:colOff>443557</xdr:colOff>
      <xdr:row>31</xdr:row>
      <xdr:rowOff>61180</xdr:rowOff>
    </xdr:to>
    <xdr:graphicFrame macro="">
      <xdr:nvGraphicFramePr>
        <xdr:cNvPr id="7" name="Chart 6">
          <a:extLst>
            <a:ext uri="{FF2B5EF4-FFF2-40B4-BE49-F238E27FC236}">
              <a16:creationId xmlns:a16="http://schemas.microsoft.com/office/drawing/2014/main" id="{70C4336C-6913-4CC5-A100-6D54B087D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308042</xdr:colOff>
      <xdr:row>32</xdr:row>
      <xdr:rowOff>64851</xdr:rowOff>
    </xdr:from>
    <xdr:to>
      <xdr:col>14</xdr:col>
      <xdr:colOff>324255</xdr:colOff>
      <xdr:row>57</xdr:row>
      <xdr:rowOff>16213</xdr:rowOff>
    </xdr:to>
    <xdr:graphicFrame macro="">
      <xdr:nvGraphicFramePr>
        <xdr:cNvPr id="9" name="Chart 8">
          <a:extLst>
            <a:ext uri="{FF2B5EF4-FFF2-40B4-BE49-F238E27FC236}">
              <a16:creationId xmlns:a16="http://schemas.microsoft.com/office/drawing/2014/main" id="{C36D6909-B5A8-4330-84E5-64975C056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421532</xdr:colOff>
      <xdr:row>32</xdr:row>
      <xdr:rowOff>64850</xdr:rowOff>
    </xdr:from>
    <xdr:to>
      <xdr:col>41</xdr:col>
      <xdr:colOff>0</xdr:colOff>
      <xdr:row>57</xdr:row>
      <xdr:rowOff>81064</xdr:rowOff>
    </xdr:to>
    <xdr:graphicFrame macro="">
      <xdr:nvGraphicFramePr>
        <xdr:cNvPr id="10" name="Chart 9">
          <a:extLst>
            <a:ext uri="{FF2B5EF4-FFF2-40B4-BE49-F238E27FC236}">
              <a16:creationId xmlns:a16="http://schemas.microsoft.com/office/drawing/2014/main" id="{D2851FAA-AA22-46B9-8CE4-1074C3CC8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486384</xdr:colOff>
      <xdr:row>32</xdr:row>
      <xdr:rowOff>66260</xdr:rowOff>
    </xdr:from>
    <xdr:to>
      <xdr:col>27</xdr:col>
      <xdr:colOff>243191</xdr:colOff>
      <xdr:row>57</xdr:row>
      <xdr:rowOff>16214</xdr:rowOff>
    </xdr:to>
    <xdr:graphicFrame macro="">
      <xdr:nvGraphicFramePr>
        <xdr:cNvPr id="11" name="Chart 10">
          <a:extLst>
            <a:ext uri="{FF2B5EF4-FFF2-40B4-BE49-F238E27FC236}">
              <a16:creationId xmlns:a16="http://schemas.microsoft.com/office/drawing/2014/main" id="{8B042A71-3B62-4D60-9FA4-63B86B471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172813</xdr:colOff>
      <xdr:row>6</xdr:row>
      <xdr:rowOff>103766</xdr:rowOff>
    </xdr:from>
    <xdr:to>
      <xdr:col>44</xdr:col>
      <xdr:colOff>600196</xdr:colOff>
      <xdr:row>57</xdr:row>
      <xdr:rowOff>98772</xdr:rowOff>
    </xdr:to>
    <xdr:sp macro="" textlink="">
      <xdr:nvSpPr>
        <xdr:cNvPr id="20" name="Rectangle 19">
          <a:extLst>
            <a:ext uri="{FF2B5EF4-FFF2-40B4-BE49-F238E27FC236}">
              <a16:creationId xmlns:a16="http://schemas.microsoft.com/office/drawing/2014/main" id="{416EF33A-A591-6C62-42E6-63B90E69F545}"/>
            </a:ext>
          </a:extLst>
        </xdr:cNvPr>
        <xdr:cNvSpPr/>
      </xdr:nvSpPr>
      <xdr:spPr>
        <a:xfrm>
          <a:off x="25399877" y="1173809"/>
          <a:ext cx="2243213" cy="9090367"/>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41</xdr:col>
      <xdr:colOff>385200</xdr:colOff>
      <xdr:row>19</xdr:row>
      <xdr:rowOff>46698</xdr:rowOff>
    </xdr:from>
    <xdr:to>
      <xdr:col>44</xdr:col>
      <xdr:colOff>431583</xdr:colOff>
      <xdr:row>28</xdr:row>
      <xdr:rowOff>81064</xdr:rowOff>
    </xdr:to>
    <mc:AlternateContent xmlns:mc="http://schemas.openxmlformats.org/markup-compatibility/2006" xmlns:a14="http://schemas.microsoft.com/office/drawing/2010/main">
      <mc:Choice Requires="a14">
        <xdr:graphicFrame macro="">
          <xdr:nvGraphicFramePr>
            <xdr:cNvPr id="22" name="Skin_Type 1">
              <a:extLst>
                <a:ext uri="{FF2B5EF4-FFF2-40B4-BE49-F238E27FC236}">
                  <a16:creationId xmlns:a16="http://schemas.microsoft.com/office/drawing/2014/main" id="{2F99CBF2-9B37-4242-8F4C-AACCFC50606A}"/>
                </a:ext>
              </a:extLst>
            </xdr:cNvPr>
            <xdr:cNvGraphicFramePr/>
          </xdr:nvGraphicFramePr>
          <xdr:xfrm>
            <a:off x="0" y="0"/>
            <a:ext cx="0" cy="0"/>
          </xdr:xfrm>
          <a:graphic>
            <a:graphicData uri="http://schemas.microsoft.com/office/drawing/2010/slicer">
              <sle:slicer xmlns:sle="http://schemas.microsoft.com/office/drawing/2010/slicer" name="Skin_Type 1"/>
            </a:graphicData>
          </a:graphic>
        </xdr:graphicFrame>
      </mc:Choice>
      <mc:Fallback xmlns="">
        <xdr:sp macro="" textlink="">
          <xdr:nvSpPr>
            <xdr:cNvPr id="0" name=""/>
            <xdr:cNvSpPr>
              <a:spLocks noTextEdit="1"/>
            </xdr:cNvSpPr>
          </xdr:nvSpPr>
          <xdr:spPr>
            <a:xfrm>
              <a:off x="25612264" y="3435166"/>
              <a:ext cx="1862213" cy="1639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418599</xdr:colOff>
      <xdr:row>29</xdr:row>
      <xdr:rowOff>108627</xdr:rowOff>
    </xdr:from>
    <xdr:to>
      <xdr:col>44</xdr:col>
      <xdr:colOff>423900</xdr:colOff>
      <xdr:row>42</xdr:row>
      <xdr:rowOff>145509</xdr:rowOff>
    </xdr:to>
    <mc:AlternateContent xmlns:mc="http://schemas.openxmlformats.org/markup-compatibility/2006" xmlns:a14="http://schemas.microsoft.com/office/drawing/2010/main">
      <mc:Choice Requires="a14">
        <xdr:graphicFrame macro="">
          <xdr:nvGraphicFramePr>
            <xdr:cNvPr id="23" name="City 1">
              <a:extLst>
                <a:ext uri="{FF2B5EF4-FFF2-40B4-BE49-F238E27FC236}">
                  <a16:creationId xmlns:a16="http://schemas.microsoft.com/office/drawing/2014/main" id="{3D8A00EA-E17A-4C2A-9D4A-8164E8AD849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5645663" y="5280499"/>
              <a:ext cx="1821131" cy="2355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417626</xdr:colOff>
      <xdr:row>43</xdr:row>
      <xdr:rowOff>139111</xdr:rowOff>
    </xdr:from>
    <xdr:to>
      <xdr:col>44</xdr:col>
      <xdr:colOff>432866</xdr:colOff>
      <xdr:row>56</xdr:row>
      <xdr:rowOff>110535</xdr:rowOff>
    </xdr:to>
    <mc:AlternateContent xmlns:mc="http://schemas.openxmlformats.org/markup-compatibility/2006" xmlns:a14="http://schemas.microsoft.com/office/drawing/2010/main">
      <mc:Choice Requires="a14">
        <xdr:graphicFrame macro="">
          <xdr:nvGraphicFramePr>
            <xdr:cNvPr id="27" name="Brand">
              <a:extLst>
                <a:ext uri="{FF2B5EF4-FFF2-40B4-BE49-F238E27FC236}">
                  <a16:creationId xmlns:a16="http://schemas.microsoft.com/office/drawing/2014/main" id="{174AC729-1405-4437-9AA0-83673ABAA44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5644690" y="7807749"/>
              <a:ext cx="1831070" cy="228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567447</xdr:colOff>
      <xdr:row>13</xdr:row>
      <xdr:rowOff>145915</xdr:rowOff>
    </xdr:from>
    <xdr:to>
      <xdr:col>40</xdr:col>
      <xdr:colOff>551234</xdr:colOff>
      <xdr:row>31</xdr:row>
      <xdr:rowOff>97278</xdr:rowOff>
    </xdr:to>
    <xdr:graphicFrame macro="">
      <xdr:nvGraphicFramePr>
        <xdr:cNvPr id="28" name="Chart 27">
          <a:extLst>
            <a:ext uri="{FF2B5EF4-FFF2-40B4-BE49-F238E27FC236}">
              <a16:creationId xmlns:a16="http://schemas.microsoft.com/office/drawing/2014/main" id="{4135F574-BC41-4362-817E-1B5666D12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453957</xdr:colOff>
      <xdr:row>6</xdr:row>
      <xdr:rowOff>32425</xdr:rowOff>
    </xdr:from>
    <xdr:to>
      <xdr:col>9</xdr:col>
      <xdr:colOff>97527</xdr:colOff>
      <xdr:row>12</xdr:row>
      <xdr:rowOff>64852</xdr:rowOff>
    </xdr:to>
    <xdr:pic>
      <xdr:nvPicPr>
        <xdr:cNvPr id="30" name="Picture 29">
          <a:extLst>
            <a:ext uri="{FF2B5EF4-FFF2-40B4-BE49-F238E27FC236}">
              <a16:creationId xmlns:a16="http://schemas.microsoft.com/office/drawing/2014/main" id="{D2DC139E-017A-1BC8-BBB7-C03B7120A67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3794" t="15458" r="22536" b="16978"/>
        <a:stretch>
          <a:fillRect/>
        </a:stretch>
      </xdr:blipFill>
      <xdr:spPr>
        <a:xfrm>
          <a:off x="4766553" y="1102468"/>
          <a:ext cx="875740" cy="1102469"/>
        </a:xfrm>
        <a:prstGeom prst="rect">
          <a:avLst/>
        </a:prstGeom>
      </xdr:spPr>
    </xdr:pic>
    <xdr:clientData/>
  </xdr:twoCellAnchor>
  <xdr:twoCellAnchor editAs="oneCell">
    <xdr:from>
      <xdr:col>16</xdr:col>
      <xdr:colOff>162128</xdr:colOff>
      <xdr:row>6</xdr:row>
      <xdr:rowOff>48637</xdr:rowOff>
    </xdr:from>
    <xdr:to>
      <xdr:col>18</xdr:col>
      <xdr:colOff>69864</xdr:colOff>
      <xdr:row>12</xdr:row>
      <xdr:rowOff>48636</xdr:rowOff>
    </xdr:to>
    <xdr:pic>
      <xdr:nvPicPr>
        <xdr:cNvPr id="32" name="Picture 31">
          <a:extLst>
            <a:ext uri="{FF2B5EF4-FFF2-40B4-BE49-F238E27FC236}">
              <a16:creationId xmlns:a16="http://schemas.microsoft.com/office/drawing/2014/main" id="{D1686951-9D66-125A-B1CD-3D2563A3002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3969" t="23450" r="22188" b="26008"/>
        <a:stretch>
          <a:fillRect/>
        </a:stretch>
      </xdr:blipFill>
      <xdr:spPr>
        <a:xfrm>
          <a:off x="10019490" y="1118680"/>
          <a:ext cx="1139906" cy="1070041"/>
        </a:xfrm>
        <a:prstGeom prst="rect">
          <a:avLst/>
        </a:prstGeom>
      </xdr:spPr>
    </xdr:pic>
    <xdr:clientData/>
  </xdr:twoCellAnchor>
  <xdr:twoCellAnchor editAs="oneCell">
    <xdr:from>
      <xdr:col>24</xdr:col>
      <xdr:colOff>599872</xdr:colOff>
      <xdr:row>6</xdr:row>
      <xdr:rowOff>64848</xdr:rowOff>
    </xdr:from>
    <xdr:to>
      <xdr:col>26</xdr:col>
      <xdr:colOff>502594</xdr:colOff>
      <xdr:row>12</xdr:row>
      <xdr:rowOff>101021</xdr:rowOff>
    </xdr:to>
    <xdr:pic>
      <xdr:nvPicPr>
        <xdr:cNvPr id="36" name="Picture 35">
          <a:extLst>
            <a:ext uri="{FF2B5EF4-FFF2-40B4-BE49-F238E27FC236}">
              <a16:creationId xmlns:a16="http://schemas.microsoft.com/office/drawing/2014/main" id="{E54800BF-3532-284F-B0BE-9438EFBBF62D}"/>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2444" t="8296" r="12733" b="19115"/>
        <a:stretch>
          <a:fillRect/>
        </a:stretch>
      </xdr:blipFill>
      <xdr:spPr>
        <a:xfrm>
          <a:off x="15385915" y="1134891"/>
          <a:ext cx="1134892" cy="1106215"/>
        </a:xfrm>
        <a:prstGeom prst="rect">
          <a:avLst/>
        </a:prstGeom>
      </xdr:spPr>
    </xdr:pic>
    <xdr:clientData/>
  </xdr:twoCellAnchor>
  <xdr:twoCellAnchor editAs="oneCell">
    <xdr:from>
      <xdr:col>33</xdr:col>
      <xdr:colOff>196413</xdr:colOff>
      <xdr:row>6</xdr:row>
      <xdr:rowOff>129701</xdr:rowOff>
    </xdr:from>
    <xdr:to>
      <xdr:col>35</xdr:col>
      <xdr:colOff>596224</xdr:colOff>
      <xdr:row>12</xdr:row>
      <xdr:rowOff>16213</xdr:rowOff>
    </xdr:to>
    <xdr:pic>
      <xdr:nvPicPr>
        <xdr:cNvPr id="38" name="Picture 37">
          <a:extLst>
            <a:ext uri="{FF2B5EF4-FFF2-40B4-BE49-F238E27FC236}">
              <a16:creationId xmlns:a16="http://schemas.microsoft.com/office/drawing/2014/main" id="{C2DAE25A-20B7-8051-8D1C-532EF68014E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527222" y="1199744"/>
          <a:ext cx="1631981" cy="956554"/>
        </a:xfrm>
        <a:prstGeom prst="rect">
          <a:avLst/>
        </a:prstGeom>
      </xdr:spPr>
    </xdr:pic>
    <xdr:clientData/>
  </xdr:twoCellAnchor>
  <xdr:twoCellAnchor editAs="oneCell">
    <xdr:from>
      <xdr:col>3</xdr:col>
      <xdr:colOff>421532</xdr:colOff>
      <xdr:row>5</xdr:row>
      <xdr:rowOff>145915</xdr:rowOff>
    </xdr:from>
    <xdr:to>
      <xdr:col>7</xdr:col>
      <xdr:colOff>129702</xdr:colOff>
      <xdr:row>12</xdr:row>
      <xdr:rowOff>48638</xdr:rowOff>
    </xdr:to>
    <xdr:pic>
      <xdr:nvPicPr>
        <xdr:cNvPr id="40" name="Picture 39">
          <a:extLst>
            <a:ext uri="{FF2B5EF4-FFF2-40B4-BE49-F238E27FC236}">
              <a16:creationId xmlns:a16="http://schemas.microsoft.com/office/drawing/2014/main" id="{17B17014-D52F-8056-962F-125BB7B0EF5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269787" y="1037617"/>
          <a:ext cx="2172511" cy="1151106"/>
        </a:xfrm>
        <a:prstGeom prst="rect">
          <a:avLst/>
        </a:prstGeom>
      </xdr:spPr>
    </xdr:pic>
    <xdr:clientData/>
  </xdr:twoCellAnchor>
  <xdr:twoCellAnchor editAs="oneCell">
    <xdr:from>
      <xdr:col>15</xdr:col>
      <xdr:colOff>340468</xdr:colOff>
      <xdr:row>39</xdr:row>
      <xdr:rowOff>48638</xdr:rowOff>
    </xdr:from>
    <xdr:to>
      <xdr:col>18</xdr:col>
      <xdr:colOff>551234</xdr:colOff>
      <xdr:row>49</xdr:row>
      <xdr:rowOff>16213</xdr:rowOff>
    </xdr:to>
    <xdr:pic>
      <xdr:nvPicPr>
        <xdr:cNvPr id="42" name="Picture 41">
          <a:extLst>
            <a:ext uri="{FF2B5EF4-FFF2-40B4-BE49-F238E27FC236}">
              <a16:creationId xmlns:a16="http://schemas.microsoft.com/office/drawing/2014/main" id="{4F47D4FC-3486-17BB-2153-D1F9BAE44C1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81745" y="7003915"/>
          <a:ext cx="2059021" cy="1750979"/>
        </a:xfrm>
        <a:prstGeom prst="rect">
          <a:avLst/>
        </a:prstGeom>
      </xdr:spPr>
    </xdr:pic>
    <xdr:clientData/>
  </xdr:twoCellAnchor>
  <xdr:twoCellAnchor editAs="oneCell">
    <xdr:from>
      <xdr:col>41</xdr:col>
      <xdr:colOff>387093</xdr:colOff>
      <xdr:row>7</xdr:row>
      <xdr:rowOff>64851</xdr:rowOff>
    </xdr:from>
    <xdr:to>
      <xdr:col>44</xdr:col>
      <xdr:colOff>389106</xdr:colOff>
      <xdr:row>18</xdr:row>
      <xdr:rowOff>43496</xdr:rowOff>
    </xdr:to>
    <xdr:pic>
      <xdr:nvPicPr>
        <xdr:cNvPr id="44" name="Picture 43">
          <a:extLst>
            <a:ext uri="{FF2B5EF4-FFF2-40B4-BE49-F238E27FC236}">
              <a16:creationId xmlns:a16="http://schemas.microsoft.com/office/drawing/2014/main" id="{B5410B4A-AFFC-BBD4-FB50-887F3A7D7A1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5614157" y="1313234"/>
          <a:ext cx="1817843" cy="1940390"/>
        </a:xfrm>
        <a:prstGeom prst="rect">
          <a:avLst/>
        </a:prstGeom>
      </xdr:spPr>
    </xdr:pic>
    <xdr:clientData/>
  </xdr:twoCellAnchor>
  <xdr:twoCellAnchor editAs="oneCell">
    <xdr:from>
      <xdr:col>2</xdr:col>
      <xdr:colOff>389107</xdr:colOff>
      <xdr:row>0</xdr:row>
      <xdr:rowOff>0</xdr:rowOff>
    </xdr:from>
    <xdr:to>
      <xdr:col>46</xdr:col>
      <xdr:colOff>0</xdr:colOff>
      <xdr:row>59</xdr:row>
      <xdr:rowOff>48637</xdr:rowOff>
    </xdr:to>
    <xdr:pic>
      <xdr:nvPicPr>
        <xdr:cNvPr id="48" name="Picture 47">
          <a:extLst>
            <a:ext uri="{FF2B5EF4-FFF2-40B4-BE49-F238E27FC236}">
              <a16:creationId xmlns:a16="http://schemas.microsoft.com/office/drawing/2014/main" id="{D2AD25D1-2907-6EA8-473A-C8B1FF7BF921}"/>
            </a:ext>
          </a:extLst>
        </xdr:cNvPr>
        <xdr:cNvPicPr>
          <a:picLocks noChangeAspect="1"/>
        </xdr:cNvPicPr>
      </xdr:nvPicPr>
      <xdr:blipFill>
        <a:blip xmlns:r="http://schemas.openxmlformats.org/officeDocument/2006/relationships" r:embed="rId13">
          <a:alphaModFix amt="12000"/>
          <a:extLst>
            <a:ext uri="{28A0092B-C50C-407E-A947-70E740481C1C}">
              <a14:useLocalDpi xmlns:a14="http://schemas.microsoft.com/office/drawing/2010/main" val="0"/>
            </a:ext>
          </a:extLst>
        </a:blip>
        <a:stretch>
          <a:fillRect/>
        </a:stretch>
      </xdr:blipFill>
      <xdr:spPr>
        <a:xfrm>
          <a:off x="1621277" y="0"/>
          <a:ext cx="26653787" cy="10570722"/>
        </a:xfrm>
        <a:prstGeom prst="rect">
          <a:avLst/>
        </a:prstGeom>
      </xdr:spPr>
    </xdr:pic>
    <xdr:clientData/>
  </xdr:twoCellAnchor>
  <xdr:twoCellAnchor editAs="oneCell">
    <xdr:from>
      <xdr:col>53</xdr:col>
      <xdr:colOff>0</xdr:colOff>
      <xdr:row>18</xdr:row>
      <xdr:rowOff>0</xdr:rowOff>
    </xdr:from>
    <xdr:to>
      <xdr:col>83</xdr:col>
      <xdr:colOff>567447</xdr:colOff>
      <xdr:row>89</xdr:row>
      <xdr:rowOff>34655</xdr:rowOff>
    </xdr:to>
    <xdr:pic>
      <xdr:nvPicPr>
        <xdr:cNvPr id="50" name="Picture 49">
          <a:extLst>
            <a:ext uri="{FF2B5EF4-FFF2-40B4-BE49-F238E27FC236}">
              <a16:creationId xmlns:a16="http://schemas.microsoft.com/office/drawing/2014/main" id="{AE4AEDD6-41E6-F5DC-DCB3-E1DD86B2AB7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2587660" y="3210128"/>
          <a:ext cx="19050000" cy="126968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BABU" refreshedDate="46193.479292939817" createdVersion="8" refreshedVersion="8" minRefreshableVersion="3" recordCount="200" xr:uid="{4C83BA1B-E94B-42C4-90AC-548A7C053B78}">
  <cacheSource type="worksheet">
    <worksheetSource name="Table1"/>
  </cacheSource>
  <cacheFields count="13">
    <cacheField name="Customer_ID" numFmtId="0">
      <sharedItems/>
    </cacheField>
    <cacheField name="Age" numFmtId="0">
      <sharedItems containsSemiMixedTypes="0" containsString="0" containsNumber="1" containsInteger="1" minValue="18" maxValue="45"/>
    </cacheField>
    <cacheField name="Gender" numFmtId="0">
      <sharedItems count="2">
        <s v="Female"/>
        <s v="Male"/>
      </sharedItems>
    </cacheField>
    <cacheField name="Skin_Type" numFmtId="0">
      <sharedItems count="5">
        <s v="Normal"/>
        <s v="Sensitive"/>
        <s v="Oily"/>
        <s v="Dry"/>
        <s v="Combination"/>
      </sharedItems>
    </cacheField>
    <cacheField name="Product_Category" numFmtId="0">
      <sharedItems count="3">
        <s v="Haircare"/>
        <s v="Skincare"/>
        <s v="Makeup"/>
      </sharedItems>
    </cacheField>
    <cacheField name="Product_Name" numFmtId="0">
      <sharedItems/>
    </cacheField>
    <cacheField name="Brand" numFmtId="0">
      <sharedItems count="7">
        <s v="Nykaa"/>
        <s v="Lakme"/>
        <s v="Mamaearth"/>
        <s v="Dot &amp; Key"/>
        <s v="Plum"/>
        <s v="Maybelline"/>
        <s v="Minimalist"/>
      </sharedItems>
    </cacheField>
    <cacheField name="Price_USD" numFmtId="0">
      <sharedItems containsSemiMixedTypes="0" containsString="0" containsNumber="1" minValue="5.05" maxValue="39.78"/>
    </cacheField>
    <cacheField name="Quantity" numFmtId="0">
      <sharedItems containsSemiMixedTypes="0" containsString="0" containsNumber="1" containsInteger="1" minValue="1" maxValue="5"/>
    </cacheField>
    <cacheField name="Purchase_Date" numFmtId="164">
      <sharedItems containsSemiMixedTypes="0" containsNonDate="0" containsDate="1" containsString="0" minDate="2025-01-05T00:00:00" maxDate="2025-12-31T00:00:00"/>
    </cacheField>
    <cacheField name="Rating" numFmtId="0">
      <sharedItems containsSemiMixedTypes="0" containsString="0" containsNumber="1" containsInteger="1" minValue="3" maxValue="5"/>
    </cacheField>
    <cacheField name="City" numFmtId="0">
      <sharedItems count="7">
        <s v="Hyderabad"/>
        <s v="Chennai"/>
        <s v="Kochi"/>
        <s v="Delhi"/>
        <s v="Bengaluru"/>
        <s v="Mumbai"/>
        <s v="Coimbatore"/>
      </sharedItems>
    </cacheField>
    <cacheField name="Revenue" numFmtId="0">
      <sharedItems containsSemiMixedTypes="0" containsString="0" containsNumber="1" minValue="5.84" maxValue="186.4"/>
    </cacheField>
  </cacheFields>
  <extLst>
    <ext xmlns:x14="http://schemas.microsoft.com/office/spreadsheetml/2009/9/main" uri="{725AE2AE-9491-48be-B2B4-4EB974FC3084}">
      <x14:pivotCacheDefinition pivotCacheId="1358384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1"/>
    <n v="30"/>
    <x v="0"/>
    <x v="0"/>
    <x v="0"/>
    <s v="Sunscreen"/>
    <x v="0"/>
    <n v="32.32"/>
    <n v="5"/>
    <d v="2025-05-28T00:00:00"/>
    <n v="3"/>
    <x v="0"/>
    <n v="161.6"/>
  </r>
  <r>
    <s v="C002"/>
    <n v="35"/>
    <x v="0"/>
    <x v="1"/>
    <x v="1"/>
    <s v="Gentle Cleanser"/>
    <x v="1"/>
    <n v="16.75"/>
    <n v="5"/>
    <d v="2025-05-16T00:00:00"/>
    <n v="5"/>
    <x v="0"/>
    <n v="83.75"/>
  </r>
  <r>
    <s v="C003"/>
    <n v="21"/>
    <x v="1"/>
    <x v="2"/>
    <x v="2"/>
    <s v="Clay Mask"/>
    <x v="2"/>
    <n v="34.04"/>
    <n v="1"/>
    <d v="2025-08-13T00:00:00"/>
    <n v="4"/>
    <x v="1"/>
    <n v="34.04"/>
  </r>
  <r>
    <s v="C004"/>
    <n v="39"/>
    <x v="0"/>
    <x v="2"/>
    <x v="1"/>
    <s v="Oil Control Face Wash"/>
    <x v="3"/>
    <n v="19.18"/>
    <n v="5"/>
    <d v="2025-03-24T00:00:00"/>
    <n v="5"/>
    <x v="2"/>
    <n v="95.9"/>
  </r>
  <r>
    <s v="C005"/>
    <n v="40"/>
    <x v="0"/>
    <x v="2"/>
    <x v="1"/>
    <s v="Mattifying Moisturizer"/>
    <x v="4"/>
    <n v="6.61"/>
    <n v="1"/>
    <d v="2025-01-08T00:00:00"/>
    <n v="3"/>
    <x v="1"/>
    <n v="6.61"/>
  </r>
  <r>
    <s v="C006"/>
    <n v="36"/>
    <x v="0"/>
    <x v="0"/>
    <x v="0"/>
    <s v="Face Wash"/>
    <x v="5"/>
    <n v="16.84"/>
    <n v="4"/>
    <d v="2025-06-08T00:00:00"/>
    <n v="3"/>
    <x v="2"/>
    <n v="67.36"/>
  </r>
  <r>
    <s v="C007"/>
    <n v="28"/>
    <x v="1"/>
    <x v="3"/>
    <x v="2"/>
    <s v="Aloe Moisturizer"/>
    <x v="3"/>
    <n v="27.16"/>
    <n v="3"/>
    <d v="2025-04-01T00:00:00"/>
    <n v="4"/>
    <x v="3"/>
    <n v="81.48"/>
  </r>
  <r>
    <s v="C008"/>
    <n v="28"/>
    <x v="0"/>
    <x v="4"/>
    <x v="1"/>
    <s v="Balance Cleanser"/>
    <x v="5"/>
    <n v="31.58"/>
    <n v="4"/>
    <d v="2025-04-19T00:00:00"/>
    <n v="4"/>
    <x v="4"/>
    <n v="126.32"/>
  </r>
  <r>
    <s v="C009"/>
    <n v="28"/>
    <x v="0"/>
    <x v="3"/>
    <x v="0"/>
    <s v="Aloe Moisturizer"/>
    <x v="6"/>
    <n v="14.02"/>
    <n v="3"/>
    <d v="2025-07-23T00:00:00"/>
    <n v="5"/>
    <x v="0"/>
    <n v="42.06"/>
  </r>
  <r>
    <s v="C010"/>
    <n v="20"/>
    <x v="0"/>
    <x v="0"/>
    <x v="0"/>
    <s v="Face Wash"/>
    <x v="1"/>
    <n v="24.77"/>
    <n v="2"/>
    <d v="2025-05-26T00:00:00"/>
    <n v="5"/>
    <x v="3"/>
    <n v="49.54"/>
  </r>
  <r>
    <s v="C011"/>
    <n v="33"/>
    <x v="0"/>
    <x v="3"/>
    <x v="1"/>
    <s v="Nourishing Cream"/>
    <x v="5"/>
    <n v="31.14"/>
    <n v="5"/>
    <d v="2025-09-15T00:00:00"/>
    <n v="5"/>
    <x v="1"/>
    <n v="155.69999999999999"/>
  </r>
  <r>
    <s v="C012"/>
    <n v="28"/>
    <x v="0"/>
    <x v="0"/>
    <x v="1"/>
    <s v="Moisturizer"/>
    <x v="0"/>
    <n v="34.58"/>
    <n v="3"/>
    <d v="2025-09-18T00:00:00"/>
    <n v="3"/>
    <x v="3"/>
    <n v="103.74"/>
  </r>
  <r>
    <s v="C013"/>
    <n v="45"/>
    <x v="1"/>
    <x v="3"/>
    <x v="0"/>
    <s v="Nourishing Cream"/>
    <x v="5"/>
    <n v="23.61"/>
    <n v="3"/>
    <d v="2025-06-14T00:00:00"/>
    <n v="3"/>
    <x v="3"/>
    <n v="70.83"/>
  </r>
  <r>
    <s v="C014"/>
    <n v="35"/>
    <x v="0"/>
    <x v="1"/>
    <x v="2"/>
    <s v="Soothing Gel"/>
    <x v="3"/>
    <n v="13.43"/>
    <n v="3"/>
    <d v="2025-02-02T00:00:00"/>
    <n v="5"/>
    <x v="5"/>
    <n v="40.29"/>
  </r>
  <r>
    <s v="C015"/>
    <n v="29"/>
    <x v="0"/>
    <x v="1"/>
    <x v="2"/>
    <s v="Gentle Cleanser"/>
    <x v="1"/>
    <n v="26.67"/>
    <n v="1"/>
    <d v="2025-06-10T00:00:00"/>
    <n v="4"/>
    <x v="2"/>
    <n v="26.67"/>
  </r>
  <r>
    <s v="C016"/>
    <n v="33"/>
    <x v="0"/>
    <x v="2"/>
    <x v="2"/>
    <s v="Mattifying Moisturizer"/>
    <x v="6"/>
    <n v="24.89"/>
    <n v="3"/>
    <d v="2025-12-07T00:00:00"/>
    <n v="4"/>
    <x v="1"/>
    <n v="74.67"/>
  </r>
  <r>
    <s v="C017"/>
    <n v="39"/>
    <x v="1"/>
    <x v="1"/>
    <x v="1"/>
    <s v="Fragrance Free Cream"/>
    <x v="3"/>
    <n v="37.28"/>
    <n v="5"/>
    <d v="2025-02-16T00:00:00"/>
    <n v="4"/>
    <x v="0"/>
    <n v="186.4"/>
  </r>
  <r>
    <s v="C018"/>
    <n v="31"/>
    <x v="0"/>
    <x v="3"/>
    <x v="0"/>
    <s v="Hydrating Serum"/>
    <x v="0"/>
    <n v="10.62"/>
    <n v="5"/>
    <d v="2025-08-31T00:00:00"/>
    <n v="5"/>
    <x v="0"/>
    <n v="53.099999999999994"/>
  </r>
  <r>
    <s v="C019"/>
    <n v="24"/>
    <x v="1"/>
    <x v="3"/>
    <x v="1"/>
    <s v="Aloe Moisturizer"/>
    <x v="5"/>
    <n v="17.28"/>
    <n v="4"/>
    <d v="2025-12-15T00:00:00"/>
    <n v="4"/>
    <x v="2"/>
    <n v="69.12"/>
  </r>
  <r>
    <s v="C020"/>
    <n v="32"/>
    <x v="1"/>
    <x v="4"/>
    <x v="2"/>
    <s v="Vitamin C Serum"/>
    <x v="3"/>
    <n v="34.19"/>
    <n v="1"/>
    <d v="2025-12-03T00:00:00"/>
    <n v="3"/>
    <x v="5"/>
    <n v="34.19"/>
  </r>
  <r>
    <s v="C021"/>
    <n v="18"/>
    <x v="1"/>
    <x v="3"/>
    <x v="1"/>
    <s v="Aloe Moisturizer"/>
    <x v="4"/>
    <n v="20.67"/>
    <n v="4"/>
    <d v="2025-03-22T00:00:00"/>
    <n v="5"/>
    <x v="4"/>
    <n v="82.68"/>
  </r>
  <r>
    <s v="C022"/>
    <n v="31"/>
    <x v="0"/>
    <x v="1"/>
    <x v="0"/>
    <s v="Soothing Gel"/>
    <x v="4"/>
    <n v="7.29"/>
    <n v="4"/>
    <d v="2025-05-14T00:00:00"/>
    <n v="3"/>
    <x v="5"/>
    <n v="29.16"/>
  </r>
  <r>
    <s v="C023"/>
    <n v="26"/>
    <x v="0"/>
    <x v="1"/>
    <x v="2"/>
    <s v="Gentle Cleanser"/>
    <x v="2"/>
    <n v="6.53"/>
    <n v="2"/>
    <d v="2025-08-18T00:00:00"/>
    <n v="3"/>
    <x v="2"/>
    <n v="13.06"/>
  </r>
  <r>
    <s v="C024"/>
    <n v="44"/>
    <x v="0"/>
    <x v="0"/>
    <x v="0"/>
    <s v="Face Wash"/>
    <x v="0"/>
    <n v="17.190000000000001"/>
    <n v="5"/>
    <d v="2025-04-20T00:00:00"/>
    <n v="4"/>
    <x v="6"/>
    <n v="85.95"/>
  </r>
  <r>
    <s v="C025"/>
    <n v="30"/>
    <x v="0"/>
    <x v="4"/>
    <x v="1"/>
    <s v="Daily Lotion"/>
    <x v="0"/>
    <n v="12.85"/>
    <n v="5"/>
    <d v="2025-11-20T00:00:00"/>
    <n v="3"/>
    <x v="6"/>
    <n v="64.25"/>
  </r>
  <r>
    <s v="C026"/>
    <n v="20"/>
    <x v="0"/>
    <x v="3"/>
    <x v="2"/>
    <s v="Hydrating Serum"/>
    <x v="4"/>
    <n v="25.41"/>
    <n v="1"/>
    <d v="2025-08-13T00:00:00"/>
    <n v="3"/>
    <x v="4"/>
    <n v="25.41"/>
  </r>
  <r>
    <s v="C027"/>
    <n v="39"/>
    <x v="0"/>
    <x v="1"/>
    <x v="2"/>
    <s v="Gentle Cleanser"/>
    <x v="2"/>
    <n v="7.16"/>
    <n v="3"/>
    <d v="2025-06-19T00:00:00"/>
    <n v="3"/>
    <x v="4"/>
    <n v="21.48"/>
  </r>
  <r>
    <s v="C028"/>
    <n v="23"/>
    <x v="0"/>
    <x v="1"/>
    <x v="1"/>
    <s v="Soothing Gel"/>
    <x v="0"/>
    <n v="11.95"/>
    <n v="3"/>
    <d v="2025-06-10T00:00:00"/>
    <n v="5"/>
    <x v="6"/>
    <n v="35.849999999999994"/>
  </r>
  <r>
    <s v="C029"/>
    <n v="36"/>
    <x v="0"/>
    <x v="2"/>
    <x v="1"/>
    <s v="Mattifying Moisturizer"/>
    <x v="0"/>
    <n v="14.81"/>
    <n v="4"/>
    <d v="2025-02-10T00:00:00"/>
    <n v="5"/>
    <x v="6"/>
    <n v="59.24"/>
  </r>
  <r>
    <s v="C030"/>
    <n v="31"/>
    <x v="0"/>
    <x v="4"/>
    <x v="0"/>
    <s v="Vitamin C Serum"/>
    <x v="5"/>
    <n v="19.39"/>
    <n v="3"/>
    <d v="2025-04-01T00:00:00"/>
    <n v="3"/>
    <x v="3"/>
    <n v="58.17"/>
  </r>
  <r>
    <s v="C031"/>
    <n v="33"/>
    <x v="0"/>
    <x v="2"/>
    <x v="0"/>
    <s v="Mattifying Moisturizer"/>
    <x v="3"/>
    <n v="21.69"/>
    <n v="5"/>
    <d v="2025-04-14T00:00:00"/>
    <n v="5"/>
    <x v="3"/>
    <n v="108.45"/>
  </r>
  <r>
    <s v="C032"/>
    <n v="42"/>
    <x v="0"/>
    <x v="0"/>
    <x v="0"/>
    <s v="Sunscreen"/>
    <x v="2"/>
    <n v="12.89"/>
    <n v="2"/>
    <d v="2025-01-21T00:00:00"/>
    <n v="5"/>
    <x v="5"/>
    <n v="25.78"/>
  </r>
  <r>
    <s v="C033"/>
    <n v="20"/>
    <x v="0"/>
    <x v="1"/>
    <x v="0"/>
    <s v="Fragrance Free Cream"/>
    <x v="6"/>
    <n v="27.4"/>
    <n v="1"/>
    <d v="2025-05-02T00:00:00"/>
    <n v="3"/>
    <x v="4"/>
    <n v="27.4"/>
  </r>
  <r>
    <s v="C034"/>
    <n v="18"/>
    <x v="1"/>
    <x v="4"/>
    <x v="0"/>
    <s v="Vitamin C Serum"/>
    <x v="0"/>
    <n v="7.14"/>
    <n v="3"/>
    <d v="2025-07-21T00:00:00"/>
    <n v="4"/>
    <x v="4"/>
    <n v="21.419999999999998"/>
  </r>
  <r>
    <s v="C035"/>
    <n v="32"/>
    <x v="0"/>
    <x v="2"/>
    <x v="1"/>
    <s v="Oil Control Face Wash"/>
    <x v="3"/>
    <n v="34.97"/>
    <n v="1"/>
    <d v="2025-04-13T00:00:00"/>
    <n v="3"/>
    <x v="0"/>
    <n v="34.97"/>
  </r>
  <r>
    <s v="C036"/>
    <n v="40"/>
    <x v="1"/>
    <x v="2"/>
    <x v="1"/>
    <s v="Clay Mask"/>
    <x v="2"/>
    <n v="20.91"/>
    <n v="2"/>
    <d v="2025-03-24T00:00:00"/>
    <n v="4"/>
    <x v="0"/>
    <n v="41.82"/>
  </r>
  <r>
    <s v="C037"/>
    <n v="45"/>
    <x v="1"/>
    <x v="3"/>
    <x v="2"/>
    <s v="Nourishing Cream"/>
    <x v="5"/>
    <n v="35.15"/>
    <n v="5"/>
    <d v="2025-11-24T00:00:00"/>
    <n v="5"/>
    <x v="4"/>
    <n v="175.75"/>
  </r>
  <r>
    <s v="C038"/>
    <n v="45"/>
    <x v="0"/>
    <x v="4"/>
    <x v="0"/>
    <s v="Daily Lotion"/>
    <x v="4"/>
    <n v="5.68"/>
    <n v="2"/>
    <d v="2025-03-28T00:00:00"/>
    <n v="4"/>
    <x v="0"/>
    <n v="11.36"/>
  </r>
  <r>
    <s v="C039"/>
    <n v="44"/>
    <x v="1"/>
    <x v="0"/>
    <x v="2"/>
    <s v="Sunscreen"/>
    <x v="1"/>
    <n v="5.0999999999999996"/>
    <n v="5"/>
    <d v="2025-12-22T00:00:00"/>
    <n v="5"/>
    <x v="6"/>
    <n v="25.5"/>
  </r>
  <r>
    <s v="C040"/>
    <n v="29"/>
    <x v="1"/>
    <x v="0"/>
    <x v="0"/>
    <s v="Sunscreen"/>
    <x v="2"/>
    <n v="35.58"/>
    <n v="2"/>
    <d v="2025-01-21T00:00:00"/>
    <n v="3"/>
    <x v="4"/>
    <n v="71.16"/>
  </r>
  <r>
    <s v="C041"/>
    <n v="45"/>
    <x v="1"/>
    <x v="1"/>
    <x v="0"/>
    <s v="Soothing Gel"/>
    <x v="0"/>
    <n v="39.78"/>
    <n v="2"/>
    <d v="2025-06-30T00:00:00"/>
    <n v="4"/>
    <x v="4"/>
    <n v="79.56"/>
  </r>
  <r>
    <s v="C042"/>
    <n v="18"/>
    <x v="1"/>
    <x v="0"/>
    <x v="2"/>
    <s v="Moisturizer"/>
    <x v="2"/>
    <n v="25.19"/>
    <n v="5"/>
    <d v="2025-01-27T00:00:00"/>
    <n v="5"/>
    <x v="4"/>
    <n v="125.95"/>
  </r>
  <r>
    <s v="C043"/>
    <n v="38"/>
    <x v="1"/>
    <x v="1"/>
    <x v="2"/>
    <s v="Gentle Cleanser"/>
    <x v="6"/>
    <n v="9.85"/>
    <n v="3"/>
    <d v="2025-06-24T00:00:00"/>
    <n v="4"/>
    <x v="4"/>
    <n v="29.549999999999997"/>
  </r>
  <r>
    <s v="C044"/>
    <n v="35"/>
    <x v="1"/>
    <x v="2"/>
    <x v="1"/>
    <s v="Clay Mask"/>
    <x v="5"/>
    <n v="36.729999999999997"/>
    <n v="5"/>
    <d v="2025-03-22T00:00:00"/>
    <n v="3"/>
    <x v="1"/>
    <n v="183.64999999999998"/>
  </r>
  <r>
    <s v="C045"/>
    <n v="40"/>
    <x v="1"/>
    <x v="0"/>
    <x v="2"/>
    <s v="Moisturizer"/>
    <x v="2"/>
    <n v="29.85"/>
    <n v="3"/>
    <d v="2025-08-17T00:00:00"/>
    <n v="5"/>
    <x v="0"/>
    <n v="89.550000000000011"/>
  </r>
  <r>
    <s v="C046"/>
    <n v="41"/>
    <x v="0"/>
    <x v="1"/>
    <x v="1"/>
    <s v="Gentle Cleanser"/>
    <x v="4"/>
    <n v="11.63"/>
    <n v="2"/>
    <d v="2025-06-16T00:00:00"/>
    <n v="4"/>
    <x v="2"/>
    <n v="23.26"/>
  </r>
  <r>
    <s v="C047"/>
    <n v="23"/>
    <x v="0"/>
    <x v="3"/>
    <x v="2"/>
    <s v="Hydrating Serum"/>
    <x v="6"/>
    <n v="33.450000000000003"/>
    <n v="3"/>
    <d v="2025-09-16T00:00:00"/>
    <n v="3"/>
    <x v="1"/>
    <n v="100.35000000000001"/>
  </r>
  <r>
    <s v="C048"/>
    <n v="45"/>
    <x v="0"/>
    <x v="0"/>
    <x v="0"/>
    <s v="Moisturizer"/>
    <x v="0"/>
    <n v="36.94"/>
    <n v="2"/>
    <d v="2025-08-17T00:00:00"/>
    <n v="3"/>
    <x v="0"/>
    <n v="73.88"/>
  </r>
  <r>
    <s v="C049"/>
    <n v="20"/>
    <x v="0"/>
    <x v="3"/>
    <x v="1"/>
    <s v="Nourishing Cream"/>
    <x v="1"/>
    <n v="32.56"/>
    <n v="4"/>
    <d v="2025-02-03T00:00:00"/>
    <n v="5"/>
    <x v="3"/>
    <n v="130.24"/>
  </r>
  <r>
    <s v="C050"/>
    <n v="33"/>
    <x v="0"/>
    <x v="0"/>
    <x v="0"/>
    <s v="Moisturizer"/>
    <x v="5"/>
    <n v="35.479999999999997"/>
    <n v="4"/>
    <d v="2025-05-05T00:00:00"/>
    <n v="3"/>
    <x v="1"/>
    <n v="141.91999999999999"/>
  </r>
  <r>
    <s v="C051"/>
    <n v="44"/>
    <x v="1"/>
    <x v="4"/>
    <x v="2"/>
    <s v="Vitamin C Serum"/>
    <x v="1"/>
    <n v="30.85"/>
    <n v="5"/>
    <d v="2025-06-02T00:00:00"/>
    <n v="3"/>
    <x v="3"/>
    <n v="154.25"/>
  </r>
  <r>
    <s v="C052"/>
    <n v="44"/>
    <x v="0"/>
    <x v="1"/>
    <x v="1"/>
    <s v="Gentle Cleanser"/>
    <x v="6"/>
    <n v="37.65"/>
    <n v="3"/>
    <d v="2025-03-06T00:00:00"/>
    <n v="5"/>
    <x v="0"/>
    <n v="112.94999999999999"/>
  </r>
  <r>
    <s v="C053"/>
    <n v="43"/>
    <x v="1"/>
    <x v="2"/>
    <x v="0"/>
    <s v="Oil Control Face Wash"/>
    <x v="2"/>
    <n v="17.059999999999999"/>
    <n v="5"/>
    <d v="2025-05-12T00:00:00"/>
    <n v="3"/>
    <x v="4"/>
    <n v="85.3"/>
  </r>
  <r>
    <s v="C054"/>
    <n v="26"/>
    <x v="0"/>
    <x v="0"/>
    <x v="0"/>
    <s v="Moisturizer"/>
    <x v="0"/>
    <n v="17.86"/>
    <n v="3"/>
    <d v="2025-09-24T00:00:00"/>
    <n v="4"/>
    <x v="3"/>
    <n v="53.58"/>
  </r>
  <r>
    <s v="C055"/>
    <n v="24"/>
    <x v="1"/>
    <x v="0"/>
    <x v="0"/>
    <s v="Moisturizer"/>
    <x v="5"/>
    <n v="37.86"/>
    <n v="2"/>
    <d v="2025-11-08T00:00:00"/>
    <n v="5"/>
    <x v="6"/>
    <n v="75.72"/>
  </r>
  <r>
    <s v="C056"/>
    <n v="44"/>
    <x v="0"/>
    <x v="1"/>
    <x v="0"/>
    <s v="Gentle Cleanser"/>
    <x v="4"/>
    <n v="17.68"/>
    <n v="5"/>
    <d v="2025-01-08T00:00:00"/>
    <n v="4"/>
    <x v="2"/>
    <n v="88.4"/>
  </r>
  <r>
    <s v="C057"/>
    <n v="23"/>
    <x v="0"/>
    <x v="0"/>
    <x v="2"/>
    <s v="Moisturizer"/>
    <x v="0"/>
    <n v="22.83"/>
    <n v="3"/>
    <d v="2025-02-17T00:00:00"/>
    <n v="5"/>
    <x v="0"/>
    <n v="68.489999999999995"/>
  </r>
  <r>
    <s v="C058"/>
    <n v="38"/>
    <x v="1"/>
    <x v="0"/>
    <x v="2"/>
    <s v="Sunscreen"/>
    <x v="4"/>
    <n v="13.06"/>
    <n v="1"/>
    <d v="2025-04-02T00:00:00"/>
    <n v="4"/>
    <x v="4"/>
    <n v="13.06"/>
  </r>
  <r>
    <s v="C059"/>
    <n v="43"/>
    <x v="0"/>
    <x v="1"/>
    <x v="1"/>
    <s v="Gentle Cleanser"/>
    <x v="6"/>
    <n v="8.1999999999999993"/>
    <n v="3"/>
    <d v="2025-01-31T00:00:00"/>
    <n v="4"/>
    <x v="1"/>
    <n v="24.599999999999998"/>
  </r>
  <r>
    <s v="C060"/>
    <n v="21"/>
    <x v="0"/>
    <x v="3"/>
    <x v="0"/>
    <s v="Nourishing Cream"/>
    <x v="0"/>
    <n v="7"/>
    <n v="4"/>
    <d v="2025-05-05T00:00:00"/>
    <n v="3"/>
    <x v="6"/>
    <n v="28"/>
  </r>
  <r>
    <s v="C061"/>
    <n v="39"/>
    <x v="0"/>
    <x v="1"/>
    <x v="0"/>
    <s v="Gentle Cleanser"/>
    <x v="3"/>
    <n v="19"/>
    <n v="2"/>
    <d v="2025-04-11T00:00:00"/>
    <n v="3"/>
    <x v="4"/>
    <n v="38"/>
  </r>
  <r>
    <s v="C062"/>
    <n v="45"/>
    <x v="0"/>
    <x v="3"/>
    <x v="0"/>
    <s v="Aloe Moisturizer"/>
    <x v="3"/>
    <n v="30.16"/>
    <n v="2"/>
    <d v="2025-08-02T00:00:00"/>
    <n v="4"/>
    <x v="4"/>
    <n v="60.32"/>
  </r>
  <r>
    <s v="C063"/>
    <n v="19"/>
    <x v="1"/>
    <x v="2"/>
    <x v="1"/>
    <s v="Clay Mask"/>
    <x v="5"/>
    <n v="32.42"/>
    <n v="1"/>
    <d v="2025-07-19T00:00:00"/>
    <n v="3"/>
    <x v="1"/>
    <n v="32.42"/>
  </r>
  <r>
    <s v="C064"/>
    <n v="18"/>
    <x v="0"/>
    <x v="2"/>
    <x v="1"/>
    <s v="Mattifying Moisturizer"/>
    <x v="5"/>
    <n v="6.59"/>
    <n v="5"/>
    <d v="2025-04-06T00:00:00"/>
    <n v="3"/>
    <x v="2"/>
    <n v="32.950000000000003"/>
  </r>
  <r>
    <s v="C065"/>
    <n v="23"/>
    <x v="1"/>
    <x v="4"/>
    <x v="0"/>
    <s v="Balance Cleanser"/>
    <x v="0"/>
    <n v="21.7"/>
    <n v="4"/>
    <d v="2025-05-30T00:00:00"/>
    <n v="4"/>
    <x v="2"/>
    <n v="86.8"/>
  </r>
  <r>
    <s v="C066"/>
    <n v="25"/>
    <x v="0"/>
    <x v="2"/>
    <x v="2"/>
    <s v="Oil Control Face Wash"/>
    <x v="6"/>
    <n v="33.979999999999997"/>
    <n v="4"/>
    <d v="2025-06-27T00:00:00"/>
    <n v="5"/>
    <x v="1"/>
    <n v="135.91999999999999"/>
  </r>
  <r>
    <s v="C067"/>
    <n v="21"/>
    <x v="1"/>
    <x v="3"/>
    <x v="1"/>
    <s v="Nourishing Cream"/>
    <x v="0"/>
    <n v="11.7"/>
    <n v="4"/>
    <d v="2025-11-07T00:00:00"/>
    <n v="5"/>
    <x v="3"/>
    <n v="46.8"/>
  </r>
  <r>
    <s v="C068"/>
    <n v="41"/>
    <x v="1"/>
    <x v="0"/>
    <x v="0"/>
    <s v="Moisturizer"/>
    <x v="6"/>
    <n v="22.22"/>
    <n v="2"/>
    <d v="2025-07-14T00:00:00"/>
    <n v="3"/>
    <x v="3"/>
    <n v="44.44"/>
  </r>
  <r>
    <s v="C069"/>
    <n v="22"/>
    <x v="1"/>
    <x v="2"/>
    <x v="2"/>
    <s v="Mattifying Moisturizer"/>
    <x v="3"/>
    <n v="34.47"/>
    <n v="5"/>
    <d v="2025-11-11T00:00:00"/>
    <n v="5"/>
    <x v="0"/>
    <n v="172.35"/>
  </r>
  <r>
    <s v="C070"/>
    <n v="34"/>
    <x v="0"/>
    <x v="0"/>
    <x v="0"/>
    <s v="Sunscreen"/>
    <x v="6"/>
    <n v="23.21"/>
    <n v="5"/>
    <d v="2025-04-30T00:00:00"/>
    <n v="4"/>
    <x v="3"/>
    <n v="116.05000000000001"/>
  </r>
  <r>
    <s v="C071"/>
    <n v="34"/>
    <x v="1"/>
    <x v="0"/>
    <x v="0"/>
    <s v="Moisturizer"/>
    <x v="2"/>
    <n v="8.73"/>
    <n v="2"/>
    <d v="2025-02-02T00:00:00"/>
    <n v="3"/>
    <x v="1"/>
    <n v="17.46"/>
  </r>
  <r>
    <s v="C072"/>
    <n v="25"/>
    <x v="1"/>
    <x v="4"/>
    <x v="2"/>
    <s v="Vitamin C Serum"/>
    <x v="1"/>
    <n v="23.49"/>
    <n v="1"/>
    <d v="2025-06-10T00:00:00"/>
    <n v="5"/>
    <x v="1"/>
    <n v="23.49"/>
  </r>
  <r>
    <s v="C073"/>
    <n v="40"/>
    <x v="0"/>
    <x v="4"/>
    <x v="1"/>
    <s v="Vitamin C Serum"/>
    <x v="0"/>
    <n v="10.35"/>
    <n v="5"/>
    <d v="2025-11-15T00:00:00"/>
    <n v="4"/>
    <x v="4"/>
    <n v="51.75"/>
  </r>
  <r>
    <s v="C074"/>
    <n v="37"/>
    <x v="1"/>
    <x v="2"/>
    <x v="1"/>
    <s v="Oil Control Face Wash"/>
    <x v="4"/>
    <n v="19.010000000000002"/>
    <n v="3"/>
    <d v="2025-12-27T00:00:00"/>
    <n v="5"/>
    <x v="0"/>
    <n v="57.03"/>
  </r>
  <r>
    <s v="C075"/>
    <n v="40"/>
    <x v="0"/>
    <x v="3"/>
    <x v="1"/>
    <s v="Hydrating Serum"/>
    <x v="3"/>
    <n v="33.979999999999997"/>
    <n v="4"/>
    <d v="2025-12-09T00:00:00"/>
    <n v="5"/>
    <x v="4"/>
    <n v="135.91999999999999"/>
  </r>
  <r>
    <s v="C076"/>
    <n v="41"/>
    <x v="1"/>
    <x v="2"/>
    <x v="2"/>
    <s v="Oil Control Face Wash"/>
    <x v="1"/>
    <n v="12.74"/>
    <n v="3"/>
    <d v="2025-06-29T00:00:00"/>
    <n v="5"/>
    <x v="5"/>
    <n v="38.22"/>
  </r>
  <r>
    <s v="C077"/>
    <n v="20"/>
    <x v="1"/>
    <x v="3"/>
    <x v="0"/>
    <s v="Aloe Moisturizer"/>
    <x v="5"/>
    <n v="20.9"/>
    <n v="2"/>
    <d v="2025-06-10T00:00:00"/>
    <n v="3"/>
    <x v="2"/>
    <n v="41.8"/>
  </r>
  <r>
    <s v="C078"/>
    <n v="21"/>
    <x v="0"/>
    <x v="2"/>
    <x v="1"/>
    <s v="Mattifying Moisturizer"/>
    <x v="4"/>
    <n v="22.53"/>
    <n v="5"/>
    <d v="2025-06-29T00:00:00"/>
    <n v="5"/>
    <x v="1"/>
    <n v="112.65"/>
  </r>
  <r>
    <s v="C079"/>
    <n v="27"/>
    <x v="0"/>
    <x v="4"/>
    <x v="1"/>
    <s v="Vitamin C Serum"/>
    <x v="5"/>
    <n v="15.25"/>
    <n v="4"/>
    <d v="2025-03-19T00:00:00"/>
    <n v="5"/>
    <x v="0"/>
    <n v="61"/>
  </r>
  <r>
    <s v="C080"/>
    <n v="29"/>
    <x v="0"/>
    <x v="4"/>
    <x v="0"/>
    <s v="Balance Cleanser"/>
    <x v="3"/>
    <n v="24.83"/>
    <n v="5"/>
    <d v="2025-07-29T00:00:00"/>
    <n v="4"/>
    <x v="5"/>
    <n v="124.14999999999999"/>
  </r>
  <r>
    <s v="C081"/>
    <n v="40"/>
    <x v="0"/>
    <x v="3"/>
    <x v="0"/>
    <s v="Nourishing Cream"/>
    <x v="4"/>
    <n v="37.729999999999997"/>
    <n v="3"/>
    <d v="2025-05-10T00:00:00"/>
    <n v="3"/>
    <x v="5"/>
    <n v="113.19"/>
  </r>
  <r>
    <s v="C082"/>
    <n v="21"/>
    <x v="0"/>
    <x v="1"/>
    <x v="2"/>
    <s v="Soothing Gel"/>
    <x v="3"/>
    <n v="12.78"/>
    <n v="4"/>
    <d v="2025-05-31T00:00:00"/>
    <n v="3"/>
    <x v="0"/>
    <n v="51.12"/>
  </r>
  <r>
    <s v="C083"/>
    <n v="43"/>
    <x v="0"/>
    <x v="0"/>
    <x v="0"/>
    <s v="Face Wash"/>
    <x v="1"/>
    <n v="15.8"/>
    <n v="1"/>
    <d v="2025-11-05T00:00:00"/>
    <n v="4"/>
    <x v="2"/>
    <n v="15.8"/>
  </r>
  <r>
    <s v="C084"/>
    <n v="33"/>
    <x v="0"/>
    <x v="1"/>
    <x v="2"/>
    <s v="Fragrance Free Cream"/>
    <x v="1"/>
    <n v="36.08"/>
    <n v="5"/>
    <d v="2025-10-06T00:00:00"/>
    <n v="3"/>
    <x v="6"/>
    <n v="180.39999999999998"/>
  </r>
  <r>
    <s v="C085"/>
    <n v="25"/>
    <x v="1"/>
    <x v="1"/>
    <x v="2"/>
    <s v="Soothing Gel"/>
    <x v="5"/>
    <n v="7.11"/>
    <n v="2"/>
    <d v="2025-07-19T00:00:00"/>
    <n v="4"/>
    <x v="5"/>
    <n v="14.22"/>
  </r>
  <r>
    <s v="C086"/>
    <n v="20"/>
    <x v="0"/>
    <x v="3"/>
    <x v="2"/>
    <s v="Hydrating Serum"/>
    <x v="1"/>
    <n v="33.130000000000003"/>
    <n v="2"/>
    <d v="2025-10-12T00:00:00"/>
    <n v="5"/>
    <x v="2"/>
    <n v="66.260000000000005"/>
  </r>
  <r>
    <s v="C087"/>
    <n v="28"/>
    <x v="0"/>
    <x v="1"/>
    <x v="0"/>
    <s v="Soothing Gel"/>
    <x v="5"/>
    <n v="5.0999999999999996"/>
    <n v="5"/>
    <d v="2025-01-05T00:00:00"/>
    <n v="5"/>
    <x v="5"/>
    <n v="25.5"/>
  </r>
  <r>
    <s v="C088"/>
    <n v="25"/>
    <x v="1"/>
    <x v="1"/>
    <x v="0"/>
    <s v="Gentle Cleanser"/>
    <x v="1"/>
    <n v="16.350000000000001"/>
    <n v="3"/>
    <d v="2025-05-22T00:00:00"/>
    <n v="5"/>
    <x v="5"/>
    <n v="49.050000000000004"/>
  </r>
  <r>
    <s v="C089"/>
    <n v="40"/>
    <x v="1"/>
    <x v="2"/>
    <x v="0"/>
    <s v="Mattifying Moisturizer"/>
    <x v="2"/>
    <n v="8.2899999999999991"/>
    <n v="5"/>
    <d v="2025-04-16T00:00:00"/>
    <n v="4"/>
    <x v="0"/>
    <n v="41.449999999999996"/>
  </r>
  <r>
    <s v="C090"/>
    <n v="39"/>
    <x v="0"/>
    <x v="1"/>
    <x v="0"/>
    <s v="Fragrance Free Cream"/>
    <x v="0"/>
    <n v="12.17"/>
    <n v="2"/>
    <d v="2025-07-12T00:00:00"/>
    <n v="3"/>
    <x v="6"/>
    <n v="24.34"/>
  </r>
  <r>
    <s v="C091"/>
    <n v="26"/>
    <x v="1"/>
    <x v="1"/>
    <x v="1"/>
    <s v="Gentle Cleanser"/>
    <x v="6"/>
    <n v="29.27"/>
    <n v="1"/>
    <d v="2025-03-09T00:00:00"/>
    <n v="5"/>
    <x v="4"/>
    <n v="29.27"/>
  </r>
  <r>
    <s v="C092"/>
    <n v="25"/>
    <x v="0"/>
    <x v="0"/>
    <x v="2"/>
    <s v="Face Wash"/>
    <x v="2"/>
    <n v="36.92"/>
    <n v="3"/>
    <d v="2025-06-24T00:00:00"/>
    <n v="3"/>
    <x v="3"/>
    <n v="110.76"/>
  </r>
  <r>
    <s v="C093"/>
    <n v="27"/>
    <x v="0"/>
    <x v="2"/>
    <x v="2"/>
    <s v="Mattifying Moisturizer"/>
    <x v="1"/>
    <n v="10.33"/>
    <n v="3"/>
    <d v="2025-10-28T00:00:00"/>
    <n v="3"/>
    <x v="2"/>
    <n v="30.990000000000002"/>
  </r>
  <r>
    <s v="C094"/>
    <n v="28"/>
    <x v="0"/>
    <x v="0"/>
    <x v="2"/>
    <s v="Moisturizer"/>
    <x v="5"/>
    <n v="22.41"/>
    <n v="3"/>
    <d v="2025-02-10T00:00:00"/>
    <n v="5"/>
    <x v="1"/>
    <n v="67.23"/>
  </r>
  <r>
    <s v="C095"/>
    <n v="28"/>
    <x v="0"/>
    <x v="2"/>
    <x v="0"/>
    <s v="Oil Control Face Wash"/>
    <x v="5"/>
    <n v="24.06"/>
    <n v="5"/>
    <d v="2025-12-01T00:00:00"/>
    <n v="3"/>
    <x v="0"/>
    <n v="120.3"/>
  </r>
  <r>
    <s v="C096"/>
    <n v="39"/>
    <x v="0"/>
    <x v="0"/>
    <x v="0"/>
    <s v="Sunscreen"/>
    <x v="4"/>
    <n v="14.15"/>
    <n v="2"/>
    <d v="2025-02-05T00:00:00"/>
    <n v="4"/>
    <x v="0"/>
    <n v="28.3"/>
  </r>
  <r>
    <s v="C097"/>
    <n v="33"/>
    <x v="0"/>
    <x v="3"/>
    <x v="2"/>
    <s v="Nourishing Cream"/>
    <x v="4"/>
    <n v="17.440000000000001"/>
    <n v="1"/>
    <d v="2025-06-06T00:00:00"/>
    <n v="3"/>
    <x v="4"/>
    <n v="17.440000000000001"/>
  </r>
  <r>
    <s v="C098"/>
    <n v="30"/>
    <x v="1"/>
    <x v="4"/>
    <x v="0"/>
    <s v="Daily Lotion"/>
    <x v="2"/>
    <n v="38.17"/>
    <n v="2"/>
    <d v="2025-11-24T00:00:00"/>
    <n v="5"/>
    <x v="5"/>
    <n v="76.34"/>
  </r>
  <r>
    <s v="C099"/>
    <n v="44"/>
    <x v="0"/>
    <x v="1"/>
    <x v="2"/>
    <s v="Gentle Cleanser"/>
    <x v="6"/>
    <n v="13.01"/>
    <n v="2"/>
    <d v="2025-12-05T00:00:00"/>
    <n v="4"/>
    <x v="3"/>
    <n v="26.02"/>
  </r>
  <r>
    <s v="C100"/>
    <n v="25"/>
    <x v="1"/>
    <x v="1"/>
    <x v="0"/>
    <s v="Fragrance Free Cream"/>
    <x v="4"/>
    <n v="13.86"/>
    <n v="2"/>
    <d v="2025-08-08T00:00:00"/>
    <n v="3"/>
    <x v="0"/>
    <n v="27.72"/>
  </r>
  <r>
    <s v="C101"/>
    <n v="40"/>
    <x v="0"/>
    <x v="0"/>
    <x v="0"/>
    <s v="Face Wash"/>
    <x v="4"/>
    <n v="33.92"/>
    <n v="3"/>
    <d v="2025-11-02T00:00:00"/>
    <n v="4"/>
    <x v="5"/>
    <n v="101.76"/>
  </r>
  <r>
    <s v="C102"/>
    <n v="20"/>
    <x v="0"/>
    <x v="3"/>
    <x v="1"/>
    <s v="Hydrating Serum"/>
    <x v="5"/>
    <n v="34.82"/>
    <n v="4"/>
    <d v="2025-07-08T00:00:00"/>
    <n v="3"/>
    <x v="5"/>
    <n v="139.28"/>
  </r>
  <r>
    <s v="C103"/>
    <n v="23"/>
    <x v="0"/>
    <x v="0"/>
    <x v="2"/>
    <s v="Moisturizer"/>
    <x v="5"/>
    <n v="37.090000000000003"/>
    <n v="4"/>
    <d v="2025-05-18T00:00:00"/>
    <n v="5"/>
    <x v="1"/>
    <n v="148.36000000000001"/>
  </r>
  <r>
    <s v="C104"/>
    <n v="31"/>
    <x v="0"/>
    <x v="4"/>
    <x v="1"/>
    <s v="Daily Lotion"/>
    <x v="5"/>
    <n v="15.01"/>
    <n v="5"/>
    <d v="2025-07-05T00:00:00"/>
    <n v="4"/>
    <x v="2"/>
    <n v="75.05"/>
  </r>
  <r>
    <s v="C105"/>
    <n v="19"/>
    <x v="0"/>
    <x v="0"/>
    <x v="2"/>
    <s v="Moisturizer"/>
    <x v="1"/>
    <n v="39.46"/>
    <n v="1"/>
    <d v="2025-12-18T00:00:00"/>
    <n v="3"/>
    <x v="1"/>
    <n v="39.46"/>
  </r>
  <r>
    <s v="C106"/>
    <n v="26"/>
    <x v="1"/>
    <x v="1"/>
    <x v="1"/>
    <s v="Soothing Gel"/>
    <x v="4"/>
    <n v="12.61"/>
    <n v="1"/>
    <d v="2025-05-26T00:00:00"/>
    <n v="3"/>
    <x v="2"/>
    <n v="12.61"/>
  </r>
  <r>
    <s v="C107"/>
    <n v="20"/>
    <x v="0"/>
    <x v="3"/>
    <x v="0"/>
    <s v="Hydrating Serum"/>
    <x v="5"/>
    <n v="38.200000000000003"/>
    <n v="2"/>
    <d v="2025-10-19T00:00:00"/>
    <n v="3"/>
    <x v="1"/>
    <n v="76.400000000000006"/>
  </r>
  <r>
    <s v="C108"/>
    <n v="24"/>
    <x v="0"/>
    <x v="2"/>
    <x v="2"/>
    <s v="Clay Mask"/>
    <x v="2"/>
    <n v="32.630000000000003"/>
    <n v="5"/>
    <d v="2025-01-17T00:00:00"/>
    <n v="4"/>
    <x v="5"/>
    <n v="163.15"/>
  </r>
  <r>
    <s v="C109"/>
    <n v="22"/>
    <x v="1"/>
    <x v="2"/>
    <x v="0"/>
    <s v="Clay Mask"/>
    <x v="1"/>
    <n v="19.78"/>
    <n v="5"/>
    <d v="2025-05-18T00:00:00"/>
    <n v="4"/>
    <x v="0"/>
    <n v="98.9"/>
  </r>
  <r>
    <s v="C110"/>
    <n v="26"/>
    <x v="1"/>
    <x v="2"/>
    <x v="2"/>
    <s v="Mattifying Moisturizer"/>
    <x v="4"/>
    <n v="29.45"/>
    <n v="3"/>
    <d v="2025-08-02T00:00:00"/>
    <n v="3"/>
    <x v="3"/>
    <n v="88.35"/>
  </r>
  <r>
    <s v="C111"/>
    <n v="34"/>
    <x v="0"/>
    <x v="0"/>
    <x v="2"/>
    <s v="Face Wash"/>
    <x v="2"/>
    <n v="17.02"/>
    <n v="4"/>
    <d v="2025-09-12T00:00:00"/>
    <n v="4"/>
    <x v="2"/>
    <n v="68.08"/>
  </r>
  <r>
    <s v="C112"/>
    <n v="39"/>
    <x v="0"/>
    <x v="0"/>
    <x v="0"/>
    <s v="Sunscreen"/>
    <x v="5"/>
    <n v="34.89"/>
    <n v="4"/>
    <d v="2025-01-26T00:00:00"/>
    <n v="4"/>
    <x v="3"/>
    <n v="139.56"/>
  </r>
  <r>
    <s v="C113"/>
    <n v="28"/>
    <x v="1"/>
    <x v="3"/>
    <x v="0"/>
    <s v="Aloe Moisturizer"/>
    <x v="2"/>
    <n v="12.69"/>
    <n v="5"/>
    <d v="2025-08-26T00:00:00"/>
    <n v="3"/>
    <x v="1"/>
    <n v="63.449999999999996"/>
  </r>
  <r>
    <s v="C114"/>
    <n v="43"/>
    <x v="0"/>
    <x v="3"/>
    <x v="1"/>
    <s v="Nourishing Cream"/>
    <x v="2"/>
    <n v="24.19"/>
    <n v="1"/>
    <d v="2025-10-22T00:00:00"/>
    <n v="4"/>
    <x v="1"/>
    <n v="24.19"/>
  </r>
  <r>
    <s v="C115"/>
    <n v="41"/>
    <x v="1"/>
    <x v="4"/>
    <x v="0"/>
    <s v="Balance Cleanser"/>
    <x v="0"/>
    <n v="31.91"/>
    <n v="5"/>
    <d v="2025-10-23T00:00:00"/>
    <n v="4"/>
    <x v="2"/>
    <n v="159.55000000000001"/>
  </r>
  <r>
    <s v="C116"/>
    <n v="36"/>
    <x v="0"/>
    <x v="2"/>
    <x v="0"/>
    <s v="Mattifying Moisturizer"/>
    <x v="3"/>
    <n v="11.67"/>
    <n v="1"/>
    <d v="2025-09-18T00:00:00"/>
    <n v="3"/>
    <x v="3"/>
    <n v="11.67"/>
  </r>
  <r>
    <s v="C117"/>
    <n v="36"/>
    <x v="1"/>
    <x v="4"/>
    <x v="0"/>
    <s v="Daily Lotion"/>
    <x v="6"/>
    <n v="25.02"/>
    <n v="4"/>
    <d v="2025-12-27T00:00:00"/>
    <n v="4"/>
    <x v="0"/>
    <n v="100.08"/>
  </r>
  <r>
    <s v="C118"/>
    <n v="39"/>
    <x v="0"/>
    <x v="2"/>
    <x v="2"/>
    <s v="Oil Control Face Wash"/>
    <x v="5"/>
    <n v="27.2"/>
    <n v="5"/>
    <d v="2025-08-05T00:00:00"/>
    <n v="5"/>
    <x v="2"/>
    <n v="136"/>
  </r>
  <r>
    <s v="C119"/>
    <n v="36"/>
    <x v="0"/>
    <x v="4"/>
    <x v="2"/>
    <s v="Daily Lotion"/>
    <x v="2"/>
    <n v="7.63"/>
    <n v="2"/>
    <d v="2025-05-08T00:00:00"/>
    <n v="5"/>
    <x v="3"/>
    <n v="15.26"/>
  </r>
  <r>
    <s v="C120"/>
    <n v="38"/>
    <x v="0"/>
    <x v="2"/>
    <x v="0"/>
    <s v="Clay Mask"/>
    <x v="5"/>
    <n v="17.54"/>
    <n v="4"/>
    <d v="2025-02-02T00:00:00"/>
    <n v="5"/>
    <x v="4"/>
    <n v="70.16"/>
  </r>
  <r>
    <s v="C121"/>
    <n v="35"/>
    <x v="1"/>
    <x v="2"/>
    <x v="1"/>
    <s v="Mattifying Moisturizer"/>
    <x v="3"/>
    <n v="38.42"/>
    <n v="4"/>
    <d v="2025-10-26T00:00:00"/>
    <n v="3"/>
    <x v="4"/>
    <n v="153.68"/>
  </r>
  <r>
    <s v="C122"/>
    <n v="29"/>
    <x v="0"/>
    <x v="3"/>
    <x v="2"/>
    <s v="Nourishing Cream"/>
    <x v="1"/>
    <n v="18.04"/>
    <n v="2"/>
    <d v="2025-10-21T00:00:00"/>
    <n v="3"/>
    <x v="6"/>
    <n v="36.08"/>
  </r>
  <r>
    <s v="C123"/>
    <n v="30"/>
    <x v="0"/>
    <x v="4"/>
    <x v="0"/>
    <s v="Balance Cleanser"/>
    <x v="1"/>
    <n v="29.78"/>
    <n v="5"/>
    <d v="2025-05-13T00:00:00"/>
    <n v="3"/>
    <x v="3"/>
    <n v="148.9"/>
  </r>
  <r>
    <s v="C124"/>
    <n v="29"/>
    <x v="1"/>
    <x v="2"/>
    <x v="1"/>
    <s v="Mattifying Moisturizer"/>
    <x v="0"/>
    <n v="39.53"/>
    <n v="4"/>
    <d v="2025-01-05T00:00:00"/>
    <n v="3"/>
    <x v="2"/>
    <n v="158.12"/>
  </r>
  <r>
    <s v="C125"/>
    <n v="33"/>
    <x v="0"/>
    <x v="0"/>
    <x v="0"/>
    <s v="Sunscreen"/>
    <x v="6"/>
    <n v="16.62"/>
    <n v="2"/>
    <d v="2025-08-11T00:00:00"/>
    <n v="3"/>
    <x v="3"/>
    <n v="33.24"/>
  </r>
  <r>
    <s v="C126"/>
    <n v="44"/>
    <x v="1"/>
    <x v="2"/>
    <x v="0"/>
    <s v="Clay Mask"/>
    <x v="3"/>
    <n v="22.73"/>
    <n v="5"/>
    <d v="2025-06-03T00:00:00"/>
    <n v="3"/>
    <x v="0"/>
    <n v="113.65"/>
  </r>
  <r>
    <s v="C127"/>
    <n v="23"/>
    <x v="1"/>
    <x v="0"/>
    <x v="2"/>
    <s v="Face Wash"/>
    <x v="3"/>
    <n v="30.08"/>
    <n v="2"/>
    <d v="2025-10-03T00:00:00"/>
    <n v="4"/>
    <x v="0"/>
    <n v="60.16"/>
  </r>
  <r>
    <s v="C128"/>
    <n v="40"/>
    <x v="1"/>
    <x v="3"/>
    <x v="2"/>
    <s v="Nourishing Cream"/>
    <x v="1"/>
    <n v="12.78"/>
    <n v="2"/>
    <d v="2025-12-09T00:00:00"/>
    <n v="5"/>
    <x v="6"/>
    <n v="25.56"/>
  </r>
  <r>
    <s v="C129"/>
    <n v="36"/>
    <x v="1"/>
    <x v="2"/>
    <x v="1"/>
    <s v="Oil Control Face Wash"/>
    <x v="2"/>
    <n v="8.93"/>
    <n v="5"/>
    <d v="2025-07-31T00:00:00"/>
    <n v="4"/>
    <x v="6"/>
    <n v="44.65"/>
  </r>
  <r>
    <s v="C130"/>
    <n v="42"/>
    <x v="0"/>
    <x v="1"/>
    <x v="2"/>
    <s v="Fragrance Free Cream"/>
    <x v="6"/>
    <n v="12.47"/>
    <n v="5"/>
    <d v="2025-03-30T00:00:00"/>
    <n v="3"/>
    <x v="4"/>
    <n v="62.35"/>
  </r>
  <r>
    <s v="C131"/>
    <n v="19"/>
    <x v="1"/>
    <x v="4"/>
    <x v="1"/>
    <s v="Vitamin C Serum"/>
    <x v="2"/>
    <n v="5.84"/>
    <n v="1"/>
    <d v="2025-10-19T00:00:00"/>
    <n v="4"/>
    <x v="0"/>
    <n v="5.84"/>
  </r>
  <r>
    <s v="C132"/>
    <n v="42"/>
    <x v="0"/>
    <x v="1"/>
    <x v="0"/>
    <s v="Gentle Cleanser"/>
    <x v="3"/>
    <n v="18.690000000000001"/>
    <n v="1"/>
    <d v="2025-10-18T00:00:00"/>
    <n v="5"/>
    <x v="0"/>
    <n v="18.690000000000001"/>
  </r>
  <r>
    <s v="C133"/>
    <n v="37"/>
    <x v="1"/>
    <x v="2"/>
    <x v="1"/>
    <s v="Mattifying Moisturizer"/>
    <x v="3"/>
    <n v="24.98"/>
    <n v="2"/>
    <d v="2025-03-17T00:00:00"/>
    <n v="4"/>
    <x v="6"/>
    <n v="49.96"/>
  </r>
  <r>
    <s v="C134"/>
    <n v="39"/>
    <x v="1"/>
    <x v="4"/>
    <x v="2"/>
    <s v="Vitamin C Serum"/>
    <x v="2"/>
    <n v="7.41"/>
    <n v="4"/>
    <d v="2025-12-17T00:00:00"/>
    <n v="4"/>
    <x v="0"/>
    <n v="29.64"/>
  </r>
  <r>
    <s v="C135"/>
    <n v="28"/>
    <x v="1"/>
    <x v="0"/>
    <x v="0"/>
    <s v="Moisturizer"/>
    <x v="3"/>
    <n v="15.93"/>
    <n v="2"/>
    <d v="2025-10-13T00:00:00"/>
    <n v="5"/>
    <x v="3"/>
    <n v="31.86"/>
  </r>
  <r>
    <s v="C136"/>
    <n v="32"/>
    <x v="0"/>
    <x v="2"/>
    <x v="0"/>
    <s v="Mattifying Moisturizer"/>
    <x v="0"/>
    <n v="22.91"/>
    <n v="4"/>
    <d v="2025-04-26T00:00:00"/>
    <n v="5"/>
    <x v="2"/>
    <n v="91.64"/>
  </r>
  <r>
    <s v="C137"/>
    <n v="40"/>
    <x v="0"/>
    <x v="1"/>
    <x v="2"/>
    <s v="Fragrance Free Cream"/>
    <x v="1"/>
    <n v="5.71"/>
    <n v="3"/>
    <d v="2025-09-03T00:00:00"/>
    <n v="3"/>
    <x v="3"/>
    <n v="17.13"/>
  </r>
  <r>
    <s v="C138"/>
    <n v="30"/>
    <x v="0"/>
    <x v="2"/>
    <x v="1"/>
    <s v="Clay Mask"/>
    <x v="1"/>
    <n v="21.2"/>
    <n v="2"/>
    <d v="2025-03-26T00:00:00"/>
    <n v="4"/>
    <x v="0"/>
    <n v="42.4"/>
  </r>
  <r>
    <s v="C139"/>
    <n v="29"/>
    <x v="1"/>
    <x v="1"/>
    <x v="0"/>
    <s v="Fragrance Free Cream"/>
    <x v="5"/>
    <n v="32.64"/>
    <n v="4"/>
    <d v="2025-11-13T00:00:00"/>
    <n v="4"/>
    <x v="2"/>
    <n v="130.56"/>
  </r>
  <r>
    <s v="C140"/>
    <n v="24"/>
    <x v="1"/>
    <x v="3"/>
    <x v="2"/>
    <s v="Nourishing Cream"/>
    <x v="6"/>
    <n v="7.61"/>
    <n v="2"/>
    <d v="2025-09-06T00:00:00"/>
    <n v="4"/>
    <x v="1"/>
    <n v="15.22"/>
  </r>
  <r>
    <s v="C141"/>
    <n v="35"/>
    <x v="1"/>
    <x v="0"/>
    <x v="0"/>
    <s v="Face Wash"/>
    <x v="5"/>
    <n v="11.48"/>
    <n v="4"/>
    <d v="2025-06-14T00:00:00"/>
    <n v="5"/>
    <x v="1"/>
    <n v="45.92"/>
  </r>
  <r>
    <s v="C142"/>
    <n v="30"/>
    <x v="1"/>
    <x v="3"/>
    <x v="1"/>
    <s v="Aloe Moisturizer"/>
    <x v="6"/>
    <n v="37.51"/>
    <n v="3"/>
    <d v="2025-06-21T00:00:00"/>
    <n v="4"/>
    <x v="2"/>
    <n v="112.53"/>
  </r>
  <r>
    <s v="C143"/>
    <n v="27"/>
    <x v="0"/>
    <x v="3"/>
    <x v="2"/>
    <s v="Hydrating Serum"/>
    <x v="0"/>
    <n v="27.88"/>
    <n v="4"/>
    <d v="2025-04-21T00:00:00"/>
    <n v="5"/>
    <x v="2"/>
    <n v="111.52"/>
  </r>
  <r>
    <s v="C144"/>
    <n v="45"/>
    <x v="0"/>
    <x v="4"/>
    <x v="2"/>
    <s v="Vitamin C Serum"/>
    <x v="6"/>
    <n v="19.78"/>
    <n v="5"/>
    <d v="2025-05-03T00:00:00"/>
    <n v="3"/>
    <x v="6"/>
    <n v="98.9"/>
  </r>
  <r>
    <s v="C145"/>
    <n v="26"/>
    <x v="0"/>
    <x v="1"/>
    <x v="0"/>
    <s v="Fragrance Free Cream"/>
    <x v="2"/>
    <n v="6.73"/>
    <n v="3"/>
    <d v="2025-01-28T00:00:00"/>
    <n v="3"/>
    <x v="1"/>
    <n v="20.190000000000001"/>
  </r>
  <r>
    <s v="C146"/>
    <n v="37"/>
    <x v="1"/>
    <x v="2"/>
    <x v="0"/>
    <s v="Oil Control Face Wash"/>
    <x v="4"/>
    <n v="10.79"/>
    <n v="1"/>
    <d v="2025-08-18T00:00:00"/>
    <n v="4"/>
    <x v="5"/>
    <n v="10.79"/>
  </r>
  <r>
    <s v="C147"/>
    <n v="36"/>
    <x v="1"/>
    <x v="4"/>
    <x v="2"/>
    <s v="Balance Cleanser"/>
    <x v="1"/>
    <n v="25.57"/>
    <n v="1"/>
    <d v="2025-05-09T00:00:00"/>
    <n v="3"/>
    <x v="3"/>
    <n v="25.57"/>
  </r>
  <r>
    <s v="C148"/>
    <n v="23"/>
    <x v="0"/>
    <x v="4"/>
    <x v="0"/>
    <s v="Balance Cleanser"/>
    <x v="3"/>
    <n v="36.94"/>
    <n v="4"/>
    <d v="2025-07-19T00:00:00"/>
    <n v="5"/>
    <x v="2"/>
    <n v="147.76"/>
  </r>
  <r>
    <s v="C149"/>
    <n v="24"/>
    <x v="1"/>
    <x v="1"/>
    <x v="1"/>
    <s v="Soothing Gel"/>
    <x v="0"/>
    <n v="25.16"/>
    <n v="4"/>
    <d v="2025-05-12T00:00:00"/>
    <n v="5"/>
    <x v="2"/>
    <n v="100.64"/>
  </r>
  <r>
    <s v="C150"/>
    <n v="34"/>
    <x v="1"/>
    <x v="4"/>
    <x v="0"/>
    <s v="Balance Cleanser"/>
    <x v="3"/>
    <n v="37.799999999999997"/>
    <n v="1"/>
    <d v="2025-07-20T00:00:00"/>
    <n v="5"/>
    <x v="3"/>
    <n v="37.799999999999997"/>
  </r>
  <r>
    <s v="C151"/>
    <n v="21"/>
    <x v="0"/>
    <x v="1"/>
    <x v="1"/>
    <s v="Gentle Cleanser"/>
    <x v="5"/>
    <n v="14.54"/>
    <n v="2"/>
    <d v="2025-12-30T00:00:00"/>
    <n v="4"/>
    <x v="4"/>
    <n v="29.08"/>
  </r>
  <r>
    <s v="C152"/>
    <n v="33"/>
    <x v="1"/>
    <x v="0"/>
    <x v="1"/>
    <s v="Moisturizer"/>
    <x v="6"/>
    <n v="19.16"/>
    <n v="1"/>
    <d v="2025-02-02T00:00:00"/>
    <n v="4"/>
    <x v="4"/>
    <n v="19.16"/>
  </r>
  <r>
    <s v="C153"/>
    <n v="19"/>
    <x v="1"/>
    <x v="3"/>
    <x v="2"/>
    <s v="Hydrating Serum"/>
    <x v="1"/>
    <n v="14.11"/>
    <n v="4"/>
    <d v="2025-09-05T00:00:00"/>
    <n v="5"/>
    <x v="2"/>
    <n v="56.44"/>
  </r>
  <r>
    <s v="C154"/>
    <n v="32"/>
    <x v="1"/>
    <x v="3"/>
    <x v="1"/>
    <s v="Nourishing Cream"/>
    <x v="6"/>
    <n v="13.03"/>
    <n v="1"/>
    <d v="2025-08-10T00:00:00"/>
    <n v="5"/>
    <x v="5"/>
    <n v="13.03"/>
  </r>
  <r>
    <s v="C155"/>
    <n v="24"/>
    <x v="1"/>
    <x v="2"/>
    <x v="1"/>
    <s v="Mattifying Moisturizer"/>
    <x v="1"/>
    <n v="18.04"/>
    <n v="2"/>
    <d v="2025-03-22T00:00:00"/>
    <n v="5"/>
    <x v="5"/>
    <n v="36.08"/>
  </r>
  <r>
    <s v="C156"/>
    <n v="27"/>
    <x v="0"/>
    <x v="3"/>
    <x v="1"/>
    <s v="Nourishing Cream"/>
    <x v="1"/>
    <n v="11.83"/>
    <n v="1"/>
    <d v="2025-09-23T00:00:00"/>
    <n v="5"/>
    <x v="3"/>
    <n v="11.83"/>
  </r>
  <r>
    <s v="C157"/>
    <n v="33"/>
    <x v="1"/>
    <x v="4"/>
    <x v="1"/>
    <s v="Balance Cleanser"/>
    <x v="0"/>
    <n v="36.47"/>
    <n v="2"/>
    <d v="2025-05-10T00:00:00"/>
    <n v="4"/>
    <x v="2"/>
    <n v="72.94"/>
  </r>
  <r>
    <s v="C158"/>
    <n v="18"/>
    <x v="1"/>
    <x v="0"/>
    <x v="2"/>
    <s v="Face Wash"/>
    <x v="0"/>
    <n v="21.28"/>
    <n v="1"/>
    <d v="2025-05-25T00:00:00"/>
    <n v="4"/>
    <x v="2"/>
    <n v="21.28"/>
  </r>
  <r>
    <s v="C159"/>
    <n v="41"/>
    <x v="0"/>
    <x v="1"/>
    <x v="1"/>
    <s v="Fragrance Free Cream"/>
    <x v="3"/>
    <n v="39.11"/>
    <n v="4"/>
    <d v="2025-08-10T00:00:00"/>
    <n v="5"/>
    <x v="4"/>
    <n v="156.44"/>
  </r>
  <r>
    <s v="C160"/>
    <n v="33"/>
    <x v="1"/>
    <x v="0"/>
    <x v="1"/>
    <s v="Face Wash"/>
    <x v="2"/>
    <n v="30.53"/>
    <n v="3"/>
    <d v="2025-06-15T00:00:00"/>
    <n v="3"/>
    <x v="4"/>
    <n v="91.59"/>
  </r>
  <r>
    <s v="C161"/>
    <n v="25"/>
    <x v="0"/>
    <x v="2"/>
    <x v="1"/>
    <s v="Clay Mask"/>
    <x v="2"/>
    <n v="6.94"/>
    <n v="1"/>
    <d v="2025-01-23T00:00:00"/>
    <n v="5"/>
    <x v="2"/>
    <n v="6.94"/>
  </r>
  <r>
    <s v="C162"/>
    <n v="28"/>
    <x v="0"/>
    <x v="1"/>
    <x v="1"/>
    <s v="Fragrance Free Cream"/>
    <x v="5"/>
    <n v="17.55"/>
    <n v="5"/>
    <d v="2025-05-29T00:00:00"/>
    <n v="4"/>
    <x v="5"/>
    <n v="87.75"/>
  </r>
  <r>
    <s v="C163"/>
    <n v="21"/>
    <x v="1"/>
    <x v="2"/>
    <x v="0"/>
    <s v="Mattifying Moisturizer"/>
    <x v="0"/>
    <n v="24.24"/>
    <n v="3"/>
    <d v="2025-03-21T00:00:00"/>
    <n v="5"/>
    <x v="6"/>
    <n v="72.72"/>
  </r>
  <r>
    <s v="C164"/>
    <n v="37"/>
    <x v="1"/>
    <x v="2"/>
    <x v="2"/>
    <s v="Mattifying Moisturizer"/>
    <x v="1"/>
    <n v="10.81"/>
    <n v="1"/>
    <d v="2025-12-29T00:00:00"/>
    <n v="5"/>
    <x v="2"/>
    <n v="10.81"/>
  </r>
  <r>
    <s v="C165"/>
    <n v="32"/>
    <x v="0"/>
    <x v="0"/>
    <x v="2"/>
    <s v="Sunscreen"/>
    <x v="1"/>
    <n v="13.2"/>
    <n v="3"/>
    <d v="2025-09-24T00:00:00"/>
    <n v="3"/>
    <x v="2"/>
    <n v="39.599999999999994"/>
  </r>
  <r>
    <s v="C166"/>
    <n v="38"/>
    <x v="0"/>
    <x v="4"/>
    <x v="0"/>
    <s v="Vitamin C Serum"/>
    <x v="0"/>
    <n v="6.99"/>
    <n v="2"/>
    <d v="2025-11-07T00:00:00"/>
    <n v="4"/>
    <x v="1"/>
    <n v="13.98"/>
  </r>
  <r>
    <s v="C167"/>
    <n v="30"/>
    <x v="0"/>
    <x v="4"/>
    <x v="1"/>
    <s v="Daily Lotion"/>
    <x v="0"/>
    <n v="21.58"/>
    <n v="5"/>
    <d v="2025-04-19T00:00:00"/>
    <n v="4"/>
    <x v="0"/>
    <n v="107.89999999999999"/>
  </r>
  <r>
    <s v="C168"/>
    <n v="19"/>
    <x v="0"/>
    <x v="4"/>
    <x v="1"/>
    <s v="Vitamin C Serum"/>
    <x v="2"/>
    <n v="16.87"/>
    <n v="3"/>
    <d v="2025-06-12T00:00:00"/>
    <n v="3"/>
    <x v="6"/>
    <n v="50.61"/>
  </r>
  <r>
    <s v="C169"/>
    <n v="42"/>
    <x v="0"/>
    <x v="3"/>
    <x v="0"/>
    <s v="Aloe Moisturizer"/>
    <x v="1"/>
    <n v="39.31"/>
    <n v="2"/>
    <d v="2025-10-31T00:00:00"/>
    <n v="5"/>
    <x v="2"/>
    <n v="78.62"/>
  </r>
  <r>
    <s v="C170"/>
    <n v="38"/>
    <x v="0"/>
    <x v="1"/>
    <x v="1"/>
    <s v="Soothing Gel"/>
    <x v="5"/>
    <n v="5.05"/>
    <n v="3"/>
    <d v="2025-12-19T00:00:00"/>
    <n v="3"/>
    <x v="4"/>
    <n v="15.149999999999999"/>
  </r>
  <r>
    <s v="C171"/>
    <n v="43"/>
    <x v="0"/>
    <x v="2"/>
    <x v="0"/>
    <s v="Mattifying Moisturizer"/>
    <x v="6"/>
    <n v="32.6"/>
    <n v="1"/>
    <d v="2025-11-24T00:00:00"/>
    <n v="3"/>
    <x v="2"/>
    <n v="32.6"/>
  </r>
  <r>
    <s v="C172"/>
    <n v="42"/>
    <x v="1"/>
    <x v="1"/>
    <x v="1"/>
    <s v="Fragrance Free Cream"/>
    <x v="0"/>
    <n v="16.03"/>
    <n v="3"/>
    <d v="2025-12-22T00:00:00"/>
    <n v="4"/>
    <x v="0"/>
    <n v="48.09"/>
  </r>
  <r>
    <s v="C173"/>
    <n v="25"/>
    <x v="0"/>
    <x v="4"/>
    <x v="2"/>
    <s v="Daily Lotion"/>
    <x v="3"/>
    <n v="14.22"/>
    <n v="4"/>
    <d v="2025-08-12T00:00:00"/>
    <n v="5"/>
    <x v="0"/>
    <n v="56.88"/>
  </r>
  <r>
    <s v="C174"/>
    <n v="19"/>
    <x v="0"/>
    <x v="2"/>
    <x v="0"/>
    <s v="Clay Mask"/>
    <x v="6"/>
    <n v="23.86"/>
    <n v="3"/>
    <d v="2025-01-16T00:00:00"/>
    <n v="3"/>
    <x v="2"/>
    <n v="71.58"/>
  </r>
  <r>
    <s v="C175"/>
    <n v="34"/>
    <x v="0"/>
    <x v="2"/>
    <x v="0"/>
    <s v="Mattifying Moisturizer"/>
    <x v="6"/>
    <n v="19.64"/>
    <n v="2"/>
    <d v="2025-09-17T00:00:00"/>
    <n v="5"/>
    <x v="1"/>
    <n v="39.28"/>
  </r>
  <r>
    <s v="C176"/>
    <n v="23"/>
    <x v="0"/>
    <x v="1"/>
    <x v="1"/>
    <s v="Gentle Cleanser"/>
    <x v="0"/>
    <n v="28.8"/>
    <n v="5"/>
    <d v="2025-06-07T00:00:00"/>
    <n v="3"/>
    <x v="5"/>
    <n v="144"/>
  </r>
  <r>
    <s v="C177"/>
    <n v="38"/>
    <x v="0"/>
    <x v="0"/>
    <x v="1"/>
    <s v="Sunscreen"/>
    <x v="1"/>
    <n v="10.4"/>
    <n v="1"/>
    <d v="2025-10-05T00:00:00"/>
    <n v="5"/>
    <x v="5"/>
    <n v="10.4"/>
  </r>
  <r>
    <s v="C178"/>
    <n v="19"/>
    <x v="0"/>
    <x v="4"/>
    <x v="1"/>
    <s v="Vitamin C Serum"/>
    <x v="4"/>
    <n v="20.149999999999999"/>
    <n v="1"/>
    <d v="2025-11-26T00:00:00"/>
    <n v="4"/>
    <x v="1"/>
    <n v="20.149999999999999"/>
  </r>
  <r>
    <s v="C179"/>
    <n v="44"/>
    <x v="1"/>
    <x v="4"/>
    <x v="0"/>
    <s v="Daily Lotion"/>
    <x v="3"/>
    <n v="23.44"/>
    <n v="4"/>
    <d v="2025-03-28T00:00:00"/>
    <n v="3"/>
    <x v="0"/>
    <n v="93.76"/>
  </r>
  <r>
    <s v="C180"/>
    <n v="29"/>
    <x v="1"/>
    <x v="2"/>
    <x v="1"/>
    <s v="Clay Mask"/>
    <x v="0"/>
    <n v="8.6"/>
    <n v="4"/>
    <d v="2025-04-30T00:00:00"/>
    <n v="5"/>
    <x v="6"/>
    <n v="34.4"/>
  </r>
  <r>
    <s v="C181"/>
    <n v="40"/>
    <x v="0"/>
    <x v="1"/>
    <x v="1"/>
    <s v="Soothing Gel"/>
    <x v="1"/>
    <n v="33.159999999999997"/>
    <n v="3"/>
    <d v="2025-08-24T00:00:00"/>
    <n v="4"/>
    <x v="0"/>
    <n v="99.47999999999999"/>
  </r>
  <r>
    <s v="C182"/>
    <n v="45"/>
    <x v="1"/>
    <x v="3"/>
    <x v="1"/>
    <s v="Hydrating Serum"/>
    <x v="4"/>
    <n v="10.35"/>
    <n v="4"/>
    <d v="2025-06-17T00:00:00"/>
    <n v="4"/>
    <x v="6"/>
    <n v="41.4"/>
  </r>
  <r>
    <s v="C183"/>
    <n v="39"/>
    <x v="0"/>
    <x v="1"/>
    <x v="2"/>
    <s v="Gentle Cleanser"/>
    <x v="3"/>
    <n v="24.56"/>
    <n v="1"/>
    <d v="2025-08-08T00:00:00"/>
    <n v="4"/>
    <x v="4"/>
    <n v="24.56"/>
  </r>
  <r>
    <s v="C184"/>
    <n v="18"/>
    <x v="0"/>
    <x v="3"/>
    <x v="0"/>
    <s v="Hydrating Serum"/>
    <x v="4"/>
    <n v="8.08"/>
    <n v="3"/>
    <d v="2025-04-25T00:00:00"/>
    <n v="4"/>
    <x v="0"/>
    <n v="24.240000000000002"/>
  </r>
  <r>
    <s v="C185"/>
    <n v="28"/>
    <x v="0"/>
    <x v="2"/>
    <x v="0"/>
    <s v="Mattifying Moisturizer"/>
    <x v="3"/>
    <n v="37.83"/>
    <n v="2"/>
    <d v="2025-09-04T00:00:00"/>
    <n v="5"/>
    <x v="0"/>
    <n v="75.66"/>
  </r>
  <r>
    <s v="C186"/>
    <n v="45"/>
    <x v="1"/>
    <x v="0"/>
    <x v="2"/>
    <s v="Sunscreen"/>
    <x v="4"/>
    <n v="17.13"/>
    <n v="1"/>
    <d v="2025-04-18T00:00:00"/>
    <n v="4"/>
    <x v="1"/>
    <n v="17.13"/>
  </r>
  <r>
    <s v="C187"/>
    <n v="19"/>
    <x v="1"/>
    <x v="0"/>
    <x v="2"/>
    <s v="Face Wash"/>
    <x v="5"/>
    <n v="23.31"/>
    <n v="4"/>
    <d v="2025-03-20T00:00:00"/>
    <n v="5"/>
    <x v="0"/>
    <n v="93.24"/>
  </r>
  <r>
    <s v="C188"/>
    <n v="31"/>
    <x v="1"/>
    <x v="4"/>
    <x v="0"/>
    <s v="Balance Cleanser"/>
    <x v="4"/>
    <n v="13.84"/>
    <n v="1"/>
    <d v="2025-07-04T00:00:00"/>
    <n v="4"/>
    <x v="0"/>
    <n v="13.84"/>
  </r>
  <r>
    <s v="C189"/>
    <n v="39"/>
    <x v="1"/>
    <x v="0"/>
    <x v="1"/>
    <s v="Sunscreen"/>
    <x v="6"/>
    <n v="24.91"/>
    <n v="5"/>
    <d v="2025-08-12T00:00:00"/>
    <n v="5"/>
    <x v="0"/>
    <n v="124.55"/>
  </r>
  <r>
    <s v="C190"/>
    <n v="21"/>
    <x v="1"/>
    <x v="4"/>
    <x v="2"/>
    <s v="Daily Lotion"/>
    <x v="5"/>
    <n v="18.260000000000002"/>
    <n v="2"/>
    <d v="2025-10-27T00:00:00"/>
    <n v="5"/>
    <x v="3"/>
    <n v="36.520000000000003"/>
  </r>
  <r>
    <s v="C191"/>
    <n v="35"/>
    <x v="0"/>
    <x v="1"/>
    <x v="1"/>
    <s v="Fragrance Free Cream"/>
    <x v="2"/>
    <n v="34.75"/>
    <n v="2"/>
    <d v="2025-05-25T00:00:00"/>
    <n v="3"/>
    <x v="0"/>
    <n v="69.5"/>
  </r>
  <r>
    <s v="C192"/>
    <n v="25"/>
    <x v="1"/>
    <x v="1"/>
    <x v="1"/>
    <s v="Soothing Gel"/>
    <x v="4"/>
    <n v="6.23"/>
    <n v="4"/>
    <d v="2025-06-01T00:00:00"/>
    <n v="3"/>
    <x v="2"/>
    <n v="24.92"/>
  </r>
  <r>
    <s v="C193"/>
    <n v="22"/>
    <x v="1"/>
    <x v="0"/>
    <x v="0"/>
    <s v="Face Wash"/>
    <x v="0"/>
    <n v="5.97"/>
    <n v="1"/>
    <d v="2025-09-16T00:00:00"/>
    <n v="4"/>
    <x v="6"/>
    <n v="5.97"/>
  </r>
  <r>
    <s v="C194"/>
    <n v="29"/>
    <x v="0"/>
    <x v="3"/>
    <x v="1"/>
    <s v="Aloe Moisturizer"/>
    <x v="6"/>
    <n v="31.92"/>
    <n v="5"/>
    <d v="2025-09-18T00:00:00"/>
    <n v="5"/>
    <x v="5"/>
    <n v="159.60000000000002"/>
  </r>
  <r>
    <s v="C195"/>
    <n v="35"/>
    <x v="1"/>
    <x v="4"/>
    <x v="0"/>
    <s v="Daily Lotion"/>
    <x v="4"/>
    <n v="31.91"/>
    <n v="3"/>
    <d v="2025-11-30T00:00:00"/>
    <n v="4"/>
    <x v="3"/>
    <n v="95.73"/>
  </r>
  <r>
    <s v="C196"/>
    <n v="37"/>
    <x v="0"/>
    <x v="1"/>
    <x v="2"/>
    <s v="Gentle Cleanser"/>
    <x v="2"/>
    <n v="23.69"/>
    <n v="3"/>
    <d v="2025-11-27T00:00:00"/>
    <n v="3"/>
    <x v="2"/>
    <n v="71.070000000000007"/>
  </r>
  <r>
    <s v="C197"/>
    <n v="37"/>
    <x v="0"/>
    <x v="2"/>
    <x v="2"/>
    <s v="Mattifying Moisturizer"/>
    <x v="4"/>
    <n v="39.340000000000003"/>
    <n v="3"/>
    <d v="2025-11-08T00:00:00"/>
    <n v="4"/>
    <x v="0"/>
    <n v="118.02000000000001"/>
  </r>
  <r>
    <s v="C198"/>
    <n v="43"/>
    <x v="0"/>
    <x v="2"/>
    <x v="2"/>
    <s v="Mattifying Moisturizer"/>
    <x v="0"/>
    <n v="19.57"/>
    <n v="1"/>
    <d v="2025-07-28T00:00:00"/>
    <n v="5"/>
    <x v="5"/>
    <n v="19.57"/>
  </r>
  <r>
    <s v="C199"/>
    <n v="19"/>
    <x v="0"/>
    <x v="0"/>
    <x v="0"/>
    <s v="Moisturizer"/>
    <x v="2"/>
    <n v="37.06"/>
    <n v="1"/>
    <d v="2025-04-26T00:00:00"/>
    <n v="5"/>
    <x v="5"/>
    <n v="37.06"/>
  </r>
  <r>
    <s v="C200"/>
    <n v="31"/>
    <x v="1"/>
    <x v="3"/>
    <x v="2"/>
    <s v="Nourishing Cream"/>
    <x v="2"/>
    <n v="11.5"/>
    <n v="3"/>
    <d v="2025-10-02T00:00:00"/>
    <n v="4"/>
    <x v="0"/>
    <n v="3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348636-BBFA-44C5-9E6C-8847F3F3E8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13">
    <pivotField showAll="0"/>
    <pivotField showAll="0"/>
    <pivotField showAll="0"/>
    <pivotField showAll="0">
      <items count="6">
        <item x="4"/>
        <item x="3"/>
        <item x="0"/>
        <item x="2"/>
        <item x="1"/>
        <item t="default"/>
      </items>
    </pivotField>
    <pivotField axis="axisRow" showAll="0">
      <items count="4">
        <item x="0"/>
        <item x="2"/>
        <item x="1"/>
        <item t="default"/>
      </items>
    </pivotField>
    <pivotField showAll="0"/>
    <pivotField showAll="0"/>
    <pivotField showAll="0"/>
    <pivotField showAll="0"/>
    <pivotField numFmtId="164" showAll="0"/>
    <pivotField showAll="0"/>
    <pivotField showAll="0"/>
    <pivotField dataField="1" showAll="0"/>
  </pivotFields>
  <rowFields count="1">
    <field x="4"/>
  </rowFields>
  <rowItems count="4">
    <i>
      <x/>
    </i>
    <i>
      <x v="1"/>
    </i>
    <i>
      <x v="2"/>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00A3B-6ED4-4404-A6CD-02BCBDD7AF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3">
    <pivotField showAll="0"/>
    <pivotField showAll="0"/>
    <pivotField showAll="0"/>
    <pivotField showAll="0">
      <items count="6">
        <item x="4"/>
        <item x="3"/>
        <item x="0"/>
        <item x="2"/>
        <item x="1"/>
        <item t="default"/>
      </items>
    </pivotField>
    <pivotField showAll="0">
      <items count="4">
        <item x="0"/>
        <item x="2"/>
        <item x="1"/>
        <item t="default"/>
      </items>
    </pivotField>
    <pivotField showAll="0"/>
    <pivotField axis="axisRow" showAll="0">
      <items count="8">
        <item x="3"/>
        <item x="1"/>
        <item x="2"/>
        <item x="5"/>
        <item x="6"/>
        <item x="0"/>
        <item x="4"/>
        <item t="default"/>
      </items>
    </pivotField>
    <pivotField showAll="0"/>
    <pivotField showAll="0"/>
    <pivotField numFmtId="164" showAll="0"/>
    <pivotField showAll="0"/>
    <pivotField showAll="0"/>
    <pivotField dataField="1" showAll="0"/>
  </pivotFields>
  <rowFields count="1">
    <field x="6"/>
  </rowFields>
  <rowItems count="8">
    <i>
      <x/>
    </i>
    <i>
      <x v="1"/>
    </i>
    <i>
      <x v="2"/>
    </i>
    <i>
      <x v="3"/>
    </i>
    <i>
      <x v="4"/>
    </i>
    <i>
      <x v="5"/>
    </i>
    <i>
      <x v="6"/>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C42960-60B6-474E-8F19-836F29DA5D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dataField="1" showAll="0"/>
    <pivotField showAll="0"/>
    <pivotField showAll="0">
      <items count="3">
        <item x="0"/>
        <item x="1"/>
        <item t="default"/>
      </items>
    </pivotField>
    <pivotField axis="axisRow" showAll="0">
      <items count="6">
        <item x="4"/>
        <item x="3"/>
        <item x="0"/>
        <item x="2"/>
        <item x="1"/>
        <item t="default"/>
      </items>
    </pivotField>
    <pivotField showAll="0">
      <items count="4">
        <item x="0"/>
        <item h="1" x="2"/>
        <item h="1" x="1"/>
        <item t="default"/>
      </items>
    </pivotField>
    <pivotField showAll="0"/>
    <pivotField showAll="0">
      <items count="8">
        <item x="3"/>
        <item x="1"/>
        <item x="2"/>
        <item x="5"/>
        <item x="6"/>
        <item x="0"/>
        <item x="4"/>
        <item t="default"/>
      </items>
    </pivotField>
    <pivotField showAll="0"/>
    <pivotField showAll="0"/>
    <pivotField numFmtId="164" showAll="0"/>
    <pivotField showAll="0"/>
    <pivotField showAll="0"/>
    <pivotField showAll="0"/>
  </pivotFields>
  <rowFields count="1">
    <field x="3"/>
  </rowFields>
  <rowItems count="6">
    <i>
      <x/>
    </i>
    <i>
      <x v="1"/>
    </i>
    <i>
      <x v="2"/>
    </i>
    <i>
      <x v="3"/>
    </i>
    <i>
      <x v="4"/>
    </i>
    <i t="grand">
      <x/>
    </i>
  </rowItems>
  <colItems count="1">
    <i/>
  </colItems>
  <dataFields count="1">
    <dataField name="Count of Customer_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0"/>
          </reference>
        </references>
      </pivotArea>
    </chartFormat>
    <chartFormat chart="1" format="7">
      <pivotArea type="data" outline="0" fieldPosition="0">
        <references count="2">
          <reference field="4294967294" count="1" selected="0">
            <x v="0"/>
          </reference>
          <reference field="3" count="1" selected="0">
            <x v="1"/>
          </reference>
        </references>
      </pivotArea>
    </chartFormat>
    <chartFormat chart="1" format="8">
      <pivotArea type="data" outline="0" fieldPosition="0">
        <references count="2">
          <reference field="4294967294" count="1" selected="0">
            <x v="0"/>
          </reference>
          <reference field="3" count="1" selected="0">
            <x v="2"/>
          </reference>
        </references>
      </pivotArea>
    </chartFormat>
    <chartFormat chart="1" format="9">
      <pivotArea type="data" outline="0" fieldPosition="0">
        <references count="2">
          <reference field="4294967294" count="1" selected="0">
            <x v="0"/>
          </reference>
          <reference field="3" count="1" selected="0">
            <x v="3"/>
          </reference>
        </references>
      </pivotArea>
    </chartFormat>
    <chartFormat chart="1"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C7AC9-F5C9-411A-99A8-BFB99C092D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1" firstHeaderRow="1" firstDataRow="1" firstDataCol="1"/>
  <pivotFields count="13">
    <pivotField showAll="0"/>
    <pivotField showAll="0"/>
    <pivotField showAll="0"/>
    <pivotField showAll="0"/>
    <pivotField showAll="0"/>
    <pivotField showAll="0"/>
    <pivotField showAll="0"/>
    <pivotField showAll="0"/>
    <pivotField showAll="0"/>
    <pivotField numFmtId="164" showAll="0"/>
    <pivotField showAll="0"/>
    <pivotField axis="axisRow" showAll="0">
      <items count="8">
        <item x="4"/>
        <item x="1"/>
        <item x="6"/>
        <item x="3"/>
        <item x="0"/>
        <item x="2"/>
        <item x="5"/>
        <item t="default"/>
      </items>
    </pivotField>
    <pivotField dataField="1" showAll="0"/>
  </pivotFields>
  <rowFields count="1">
    <field x="11"/>
  </rowFields>
  <rowItems count="8">
    <i>
      <x/>
    </i>
    <i>
      <x v="1"/>
    </i>
    <i>
      <x v="2"/>
    </i>
    <i>
      <x v="3"/>
    </i>
    <i>
      <x v="4"/>
    </i>
    <i>
      <x v="5"/>
    </i>
    <i>
      <x v="6"/>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0DA36-8430-4291-84AE-C0CC8080551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3">
    <pivotField showAll="0"/>
    <pivotField showAll="0"/>
    <pivotField axis="axisRow" showAll="0">
      <items count="3">
        <item x="0"/>
        <item x="1"/>
        <item t="default"/>
      </items>
    </pivotField>
    <pivotField showAll="0"/>
    <pivotField showAll="0"/>
    <pivotField showAll="0"/>
    <pivotField showAll="0">
      <items count="8">
        <item x="3"/>
        <item x="1"/>
        <item x="2"/>
        <item x="5"/>
        <item x="6"/>
        <item x="0"/>
        <item x="4"/>
        <item t="default"/>
      </items>
    </pivotField>
    <pivotField showAll="0"/>
    <pivotField showAll="0"/>
    <pivotField numFmtId="164" showAll="0"/>
    <pivotField showAll="0"/>
    <pivotField showAll="0">
      <items count="8">
        <item x="4"/>
        <item x="1"/>
        <item x="6"/>
        <item x="3"/>
        <item x="0"/>
        <item x="2"/>
        <item x="5"/>
        <item t="default"/>
      </items>
    </pivotField>
    <pivotField dataField="1" showAll="0"/>
  </pivotFields>
  <rowFields count="1">
    <field x="2"/>
  </rowFields>
  <rowItems count="3">
    <i>
      <x/>
    </i>
    <i>
      <x v="1"/>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A3BE4B-5B18-44F6-A362-42A9C23D3F4E}" sourceName="City">
  <pivotTables>
    <pivotTable tabId="13" name="PivotTable10"/>
  </pivotTables>
  <data>
    <tabular pivotCacheId="1358384664">
      <items count="7">
        <i x="4" s="1"/>
        <i x="1" s="1"/>
        <i x="6"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n_Type" xr10:uid="{D5F4EE7C-345C-4D8A-B776-5DD280AC5E36}" sourceName="Skin_Type">
  <pivotTables>
    <pivotTable tabId="8" name="PivotTable5"/>
  </pivotTables>
  <data>
    <tabular pivotCacheId="1358384664">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BA983F4-0BE0-4EE4-BEC5-8E97526257D6}" sourceName="Brand">
  <pivotTables>
    <pivotTable tabId="13" name="PivotTable10"/>
  </pivotTables>
  <data>
    <tabular pivotCacheId="1358384664">
      <items count="7">
        <i x="3" s="1"/>
        <i x="1" s="1"/>
        <i x="2" s="1"/>
        <i x="5" s="1"/>
        <i x="6"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0649778-CB8B-429A-8AF7-389EACA3F516}" cache="Slicer_City" caption="City" style="SlicerStyleLight4" rowHeight="234950"/>
  <slicer name="Skin_Type 1" xr10:uid="{D97F1BB3-AB63-4639-A4A0-23E208C85F5A}" cache="Slicer_Skin_Type" caption="Skin_Type" style="SlicerStyleLight4" rowHeight="234950"/>
  <slicer name="Brand" xr10:uid="{E2BB3ED4-46AB-4156-B8F8-DA63B38BDA7D}" cache="Slicer_Brand" caption="Brand"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3E818-FEDB-47B0-8F9E-E914F5E17222}" name="Table1" displayName="Table1" ref="A1:N201" totalsRowShown="0">
  <autoFilter ref="A1:N201" xr:uid="{3E03E818-FEDB-47B0-8F9E-E914F5E17222}"/>
  <tableColumns count="14">
    <tableColumn id="1" xr3:uid="{A067CB70-7C7F-4FE5-980D-2CE7F9B634F8}" name="Customer_ID"/>
    <tableColumn id="2" xr3:uid="{731D220A-7BEC-4F92-BA63-6D34A8B66DF9}" name="Age"/>
    <tableColumn id="3" xr3:uid="{C8CF66C7-AB7E-499C-872D-36CC956D4FAA}" name="Gender"/>
    <tableColumn id="4" xr3:uid="{E78934A7-B0C9-4F76-9B72-CB850B4482FD}" name="Skin_Type"/>
    <tableColumn id="5" xr3:uid="{D72177CA-7974-4A39-8A95-11A0E57A08EA}" name="Product_Category"/>
    <tableColumn id="6" xr3:uid="{FA960440-8114-48CC-B6F5-A2D9E1BCAEF7}" name="Product_Name"/>
    <tableColumn id="7" xr3:uid="{2D47C1C5-202B-42DD-8F44-95067E04A5DC}" name="Brand"/>
    <tableColumn id="8" xr3:uid="{1520DCB4-8E2A-43B4-844C-F7F2088846AE}" name="Price_USD"/>
    <tableColumn id="9" xr3:uid="{E81D83BD-C376-41F7-AFDA-FECF6F9A4C91}" name="Quantity"/>
    <tableColumn id="10" xr3:uid="{34C6E7B2-2E2D-468F-AB83-0ACE139D0143}" name="Purchase_Date" dataDxfId="2"/>
    <tableColumn id="11" xr3:uid="{51C4418C-D5FB-4828-A8B5-39586A3E91E6}" name="Rating"/>
    <tableColumn id="12" xr3:uid="{F2301212-697B-4EE0-A154-AD78B10CD957}" name="City"/>
    <tableColumn id="13" xr3:uid="{1D974C57-3914-48EA-B2B0-21770F22CED2}" name="Revenue" dataDxfId="1">
      <calculatedColumnFormula>H2*I2</calculatedColumnFormula>
    </tableColumn>
    <tableColumn id="14" xr3:uid="{D1D3D509-7EB5-407A-8664-AD87FDABE3E5}" name="Month" dataDxfId="0">
      <calculatedColumnFormula>TEXT(J2,"mmm")</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Custom 11">
      <a:dk1>
        <a:sysClr val="windowText" lastClr="000000"/>
      </a:dk1>
      <a:lt1>
        <a:sysClr val="window" lastClr="FFFFFF"/>
      </a:lt1>
      <a:dk2>
        <a:srgbClr val="1F497D"/>
      </a:dk2>
      <a:lt2>
        <a:srgbClr val="EEECE1"/>
      </a:lt2>
      <a:accent1>
        <a:srgbClr val="FF3399"/>
      </a:accent1>
      <a:accent2>
        <a:srgbClr val="D60093"/>
      </a:accent2>
      <a:accent3>
        <a:srgbClr val="FE19FF"/>
      </a:accent3>
      <a:accent4>
        <a:srgbClr val="8064A2"/>
      </a:accent4>
      <a:accent5>
        <a:srgbClr val="4BACC6"/>
      </a:accent5>
      <a:accent6>
        <a:srgbClr val="92D050"/>
      </a:accent6>
      <a:hlink>
        <a:srgbClr val="FFFF00"/>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52A3-4632-4DD1-9750-180CF49B3789}">
  <dimension ref="A3:B7"/>
  <sheetViews>
    <sheetView showGridLines="0" workbookViewId="0">
      <selection activeCell="P18" sqref="P18"/>
    </sheetView>
  </sheetViews>
  <sheetFormatPr defaultRowHeight="14.4" x14ac:dyDescent="0.3"/>
  <cols>
    <col min="1" max="1" width="12.5546875" bestFit="1" customWidth="1"/>
    <col min="2" max="2" width="14.88671875" bestFit="1" customWidth="1"/>
  </cols>
  <sheetData>
    <row r="3" spans="1:2" x14ac:dyDescent="0.3">
      <c r="A3" s="2" t="s">
        <v>251</v>
      </c>
      <c r="B3" t="s">
        <v>254</v>
      </c>
    </row>
    <row r="4" spans="1:2" x14ac:dyDescent="0.3">
      <c r="A4" s="3" t="s">
        <v>15</v>
      </c>
      <c r="B4">
        <v>4868.2800000000007</v>
      </c>
    </row>
    <row r="5" spans="1:2" x14ac:dyDescent="0.3">
      <c r="A5" s="3" t="s">
        <v>27</v>
      </c>
      <c r="B5">
        <v>3808.57</v>
      </c>
    </row>
    <row r="6" spans="1:2" x14ac:dyDescent="0.3">
      <c r="A6" s="3" t="s">
        <v>21</v>
      </c>
      <c r="B6">
        <v>4574.7800000000016</v>
      </c>
    </row>
    <row r="7" spans="1:2" x14ac:dyDescent="0.3">
      <c r="A7" s="3" t="s">
        <v>252</v>
      </c>
      <c r="B7">
        <v>13251.630000000001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3E6B-113F-438A-9F7C-0E427C460106}">
  <dimension ref="A3:B11"/>
  <sheetViews>
    <sheetView showGridLines="0" workbookViewId="0">
      <selection activeCell="F25" sqref="F25"/>
    </sheetView>
  </sheetViews>
  <sheetFormatPr defaultRowHeight="14.4" x14ac:dyDescent="0.3"/>
  <cols>
    <col min="1" max="1" width="12.5546875" bestFit="1" customWidth="1"/>
    <col min="2" max="2" width="14.88671875" bestFit="1" customWidth="1"/>
  </cols>
  <sheetData>
    <row r="3" spans="1:2" x14ac:dyDescent="0.3">
      <c r="A3" s="2" t="s">
        <v>251</v>
      </c>
      <c r="B3" t="s">
        <v>254</v>
      </c>
    </row>
    <row r="4" spans="1:2" x14ac:dyDescent="0.3">
      <c r="A4" s="3" t="s">
        <v>33</v>
      </c>
      <c r="B4">
        <v>2196.0700000000002</v>
      </c>
    </row>
    <row r="5" spans="1:2" x14ac:dyDescent="0.3">
      <c r="A5" s="3" t="s">
        <v>23</v>
      </c>
      <c r="B5">
        <v>1651.42</v>
      </c>
    </row>
    <row r="6" spans="1:2" x14ac:dyDescent="0.3">
      <c r="A6" s="3" t="s">
        <v>29</v>
      </c>
      <c r="B6">
        <v>1549.8700000000001</v>
      </c>
    </row>
    <row r="7" spans="1:2" x14ac:dyDescent="0.3">
      <c r="A7" s="3" t="s">
        <v>40</v>
      </c>
      <c r="B7">
        <v>2742.99</v>
      </c>
    </row>
    <row r="8" spans="1:2" x14ac:dyDescent="0.3">
      <c r="A8" s="3" t="s">
        <v>50</v>
      </c>
      <c r="B8">
        <v>1645.4</v>
      </c>
    </row>
    <row r="9" spans="1:2" x14ac:dyDescent="0.3">
      <c r="A9" s="3" t="s">
        <v>17</v>
      </c>
      <c r="B9">
        <v>2260.67</v>
      </c>
    </row>
    <row r="10" spans="1:2" x14ac:dyDescent="0.3">
      <c r="A10" s="3" t="s">
        <v>37</v>
      </c>
      <c r="B10">
        <v>1205.2099999999998</v>
      </c>
    </row>
    <row r="11" spans="1:2" x14ac:dyDescent="0.3">
      <c r="A11" s="3" t="s">
        <v>252</v>
      </c>
      <c r="B11">
        <v>13251.63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E420-BD17-4A29-B078-29D19A41E2CB}">
  <dimension ref="A3:B9"/>
  <sheetViews>
    <sheetView showGridLines="0" workbookViewId="0">
      <selection activeCell="N15" sqref="N15"/>
    </sheetView>
  </sheetViews>
  <sheetFormatPr defaultRowHeight="14.4" x14ac:dyDescent="0.3"/>
  <cols>
    <col min="1" max="1" width="12.5546875" bestFit="1" customWidth="1"/>
    <col min="2" max="2" width="19.88671875" bestFit="1" customWidth="1"/>
  </cols>
  <sheetData>
    <row r="3" spans="1:2" x14ac:dyDescent="0.3">
      <c r="A3" s="2" t="s">
        <v>251</v>
      </c>
      <c r="B3" t="s">
        <v>255</v>
      </c>
    </row>
    <row r="4" spans="1:2" x14ac:dyDescent="0.3">
      <c r="A4" s="3" t="s">
        <v>46</v>
      </c>
      <c r="B4">
        <v>34</v>
      </c>
    </row>
    <row r="5" spans="1:2" x14ac:dyDescent="0.3">
      <c r="A5" s="3" t="s">
        <v>42</v>
      </c>
      <c r="B5">
        <v>36</v>
      </c>
    </row>
    <row r="6" spans="1:2" x14ac:dyDescent="0.3">
      <c r="A6" s="3" t="s">
        <v>14</v>
      </c>
      <c r="B6">
        <v>42</v>
      </c>
    </row>
    <row r="7" spans="1:2" x14ac:dyDescent="0.3">
      <c r="A7" s="3" t="s">
        <v>26</v>
      </c>
      <c r="B7">
        <v>45</v>
      </c>
    </row>
    <row r="8" spans="1:2" x14ac:dyDescent="0.3">
      <c r="A8" s="3" t="s">
        <v>20</v>
      </c>
      <c r="B8">
        <v>43</v>
      </c>
    </row>
    <row r="9" spans="1:2" x14ac:dyDescent="0.3">
      <c r="A9" s="3" t="s">
        <v>252</v>
      </c>
      <c r="B9">
        <v>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535E-F253-4639-B81E-FCCDD4405D10}">
  <dimension ref="A3:B11"/>
  <sheetViews>
    <sheetView showGridLines="0" workbookViewId="0">
      <selection activeCell="N23" sqref="N23"/>
    </sheetView>
  </sheetViews>
  <sheetFormatPr defaultRowHeight="14.4" x14ac:dyDescent="0.3"/>
  <cols>
    <col min="1" max="1" width="12.5546875" bestFit="1" customWidth="1"/>
    <col min="2" max="2" width="14.88671875" bestFit="1" customWidth="1"/>
  </cols>
  <sheetData>
    <row r="3" spans="1:2" x14ac:dyDescent="0.3">
      <c r="A3" s="2" t="s">
        <v>251</v>
      </c>
      <c r="B3" t="s">
        <v>254</v>
      </c>
    </row>
    <row r="4" spans="1:2" x14ac:dyDescent="0.3">
      <c r="A4" s="3" t="s">
        <v>48</v>
      </c>
      <c r="B4">
        <v>1839.9100000000003</v>
      </c>
    </row>
    <row r="5" spans="1:2" x14ac:dyDescent="0.3">
      <c r="A5" s="3" t="s">
        <v>30</v>
      </c>
      <c r="B5">
        <v>1634.4400000000007</v>
      </c>
    </row>
    <row r="6" spans="1:2" x14ac:dyDescent="0.3">
      <c r="A6" s="3" t="s">
        <v>73</v>
      </c>
      <c r="B6">
        <v>1039.5</v>
      </c>
    </row>
    <row r="7" spans="1:2" x14ac:dyDescent="0.3">
      <c r="A7" s="3" t="s">
        <v>44</v>
      </c>
      <c r="B7">
        <v>1847.7699999999998</v>
      </c>
    </row>
    <row r="8" spans="1:2" x14ac:dyDescent="0.3">
      <c r="A8" s="3" t="s">
        <v>18</v>
      </c>
      <c r="B8">
        <v>2948.2200000000003</v>
      </c>
    </row>
    <row r="9" spans="1:2" x14ac:dyDescent="0.3">
      <c r="A9" s="3" t="s">
        <v>34</v>
      </c>
      <c r="B9">
        <v>2449.23</v>
      </c>
    </row>
    <row r="10" spans="1:2" x14ac:dyDescent="0.3">
      <c r="A10" s="3" t="s">
        <v>59</v>
      </c>
      <c r="B10">
        <v>1492.5599999999997</v>
      </c>
    </row>
    <row r="11" spans="1:2" x14ac:dyDescent="0.3">
      <c r="A11" s="3" t="s">
        <v>252</v>
      </c>
      <c r="B11">
        <v>13251.63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CD2A-5EB8-4133-B020-E1896C7FD8DF}">
  <dimension ref="A3:B6"/>
  <sheetViews>
    <sheetView showGridLines="0" workbookViewId="0">
      <selection activeCell="N17" sqref="N17"/>
    </sheetView>
  </sheetViews>
  <sheetFormatPr defaultRowHeight="14.4" x14ac:dyDescent="0.3"/>
  <cols>
    <col min="1" max="1" width="12.5546875" bestFit="1" customWidth="1"/>
    <col min="2" max="2" width="14.88671875" bestFit="1" customWidth="1"/>
  </cols>
  <sheetData>
    <row r="3" spans="1:2" x14ac:dyDescent="0.3">
      <c r="A3" s="2" t="s">
        <v>251</v>
      </c>
      <c r="B3" t="s">
        <v>254</v>
      </c>
    </row>
    <row r="4" spans="1:2" x14ac:dyDescent="0.3">
      <c r="A4" s="3" t="s">
        <v>13</v>
      </c>
      <c r="B4">
        <v>7988.5999999999967</v>
      </c>
    </row>
    <row r="5" spans="1:2" x14ac:dyDescent="0.3">
      <c r="A5" s="3" t="s">
        <v>25</v>
      </c>
      <c r="B5">
        <v>5263.03</v>
      </c>
    </row>
    <row r="6" spans="1:2" x14ac:dyDescent="0.3">
      <c r="A6" s="3" t="s">
        <v>252</v>
      </c>
      <c r="B6">
        <v>13251.629999999997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opLeftCell="A2" workbookViewId="0">
      <selection activeCell="H15" sqref="H15"/>
    </sheetView>
  </sheetViews>
  <sheetFormatPr defaultRowHeight="14.4" x14ac:dyDescent="0.3"/>
  <cols>
    <col min="1" max="1" width="13.77734375" customWidth="1"/>
    <col min="3" max="3" width="9" customWidth="1"/>
    <col min="4" max="4" width="11.5546875" customWidth="1"/>
    <col min="5" max="5" width="18.109375" customWidth="1"/>
    <col min="6" max="6" width="15.5546875" customWidth="1"/>
    <col min="8" max="8" width="11.5546875" customWidth="1"/>
    <col min="9" max="9" width="10.21875" customWidth="1"/>
    <col min="10" max="10" width="15.44140625" customWidth="1"/>
    <col min="12" max="13" width="8.88671875" customWidth="1"/>
    <col min="15" max="15" width="10.44140625" customWidth="1"/>
  </cols>
  <sheetData>
    <row r="1" spans="1:14" x14ac:dyDescent="0.3">
      <c r="A1" t="s">
        <v>0</v>
      </c>
      <c r="B1" t="s">
        <v>1</v>
      </c>
      <c r="C1" t="s">
        <v>2</v>
      </c>
      <c r="D1" t="s">
        <v>3</v>
      </c>
      <c r="E1" t="s">
        <v>4</v>
      </c>
      <c r="F1" t="s">
        <v>5</v>
      </c>
      <c r="G1" t="s">
        <v>6</v>
      </c>
      <c r="H1" t="s">
        <v>7</v>
      </c>
      <c r="I1" t="s">
        <v>8</v>
      </c>
      <c r="J1" t="s">
        <v>9</v>
      </c>
      <c r="K1" t="s">
        <v>10</v>
      </c>
      <c r="L1" t="s">
        <v>11</v>
      </c>
      <c r="M1" t="s">
        <v>253</v>
      </c>
      <c r="N1" t="s">
        <v>256</v>
      </c>
    </row>
    <row r="2" spans="1:14" x14ac:dyDescent="0.3">
      <c r="A2" t="s">
        <v>12</v>
      </c>
      <c r="B2">
        <v>30</v>
      </c>
      <c r="C2" t="s">
        <v>13</v>
      </c>
      <c r="D2" t="s">
        <v>14</v>
      </c>
      <c r="E2" t="s">
        <v>15</v>
      </c>
      <c r="F2" t="s">
        <v>16</v>
      </c>
      <c r="G2" t="s">
        <v>17</v>
      </c>
      <c r="H2">
        <v>32.32</v>
      </c>
      <c r="I2">
        <v>5</v>
      </c>
      <c r="J2" s="1">
        <v>45805</v>
      </c>
      <c r="K2">
        <v>3</v>
      </c>
      <c r="L2" t="s">
        <v>18</v>
      </c>
      <c r="M2">
        <f t="shared" ref="M2:M33" si="0">H2*I2</f>
        <v>161.6</v>
      </c>
      <c r="N2" t="str">
        <f t="shared" ref="N2:N33" si="1">TEXT(J2,"mmm")</f>
        <v>May</v>
      </c>
    </row>
    <row r="3" spans="1:14" x14ac:dyDescent="0.3">
      <c r="A3" t="s">
        <v>19</v>
      </c>
      <c r="B3">
        <v>35</v>
      </c>
      <c r="C3" t="s">
        <v>13</v>
      </c>
      <c r="D3" t="s">
        <v>20</v>
      </c>
      <c r="E3" t="s">
        <v>21</v>
      </c>
      <c r="F3" t="s">
        <v>22</v>
      </c>
      <c r="G3" t="s">
        <v>23</v>
      </c>
      <c r="H3">
        <v>16.75</v>
      </c>
      <c r="I3">
        <v>5</v>
      </c>
      <c r="J3" s="1">
        <v>45793</v>
      </c>
      <c r="K3">
        <v>5</v>
      </c>
      <c r="L3" t="s">
        <v>18</v>
      </c>
      <c r="M3">
        <f t="shared" si="0"/>
        <v>83.75</v>
      </c>
      <c r="N3" t="str">
        <f t="shared" si="1"/>
        <v>May</v>
      </c>
    </row>
    <row r="4" spans="1:14" x14ac:dyDescent="0.3">
      <c r="A4" t="s">
        <v>24</v>
      </c>
      <c r="B4">
        <v>21</v>
      </c>
      <c r="C4" t="s">
        <v>25</v>
      </c>
      <c r="D4" t="s">
        <v>26</v>
      </c>
      <c r="E4" t="s">
        <v>27</v>
      </c>
      <c r="F4" t="s">
        <v>28</v>
      </c>
      <c r="G4" t="s">
        <v>29</v>
      </c>
      <c r="H4">
        <v>34.04</v>
      </c>
      <c r="I4">
        <v>1</v>
      </c>
      <c r="J4" s="1">
        <v>45882</v>
      </c>
      <c r="K4">
        <v>4</v>
      </c>
      <c r="L4" t="s">
        <v>30</v>
      </c>
      <c r="M4">
        <f t="shared" si="0"/>
        <v>34.04</v>
      </c>
      <c r="N4" t="str">
        <f t="shared" si="1"/>
        <v>Aug</v>
      </c>
    </row>
    <row r="5" spans="1:14" x14ac:dyDescent="0.3">
      <c r="A5" t="s">
        <v>31</v>
      </c>
      <c r="B5">
        <v>39</v>
      </c>
      <c r="C5" t="s">
        <v>13</v>
      </c>
      <c r="D5" t="s">
        <v>26</v>
      </c>
      <c r="E5" t="s">
        <v>21</v>
      </c>
      <c r="F5" t="s">
        <v>32</v>
      </c>
      <c r="G5" t="s">
        <v>33</v>
      </c>
      <c r="H5">
        <v>19.18</v>
      </c>
      <c r="I5">
        <v>5</v>
      </c>
      <c r="J5" s="1">
        <v>45740</v>
      </c>
      <c r="K5">
        <v>5</v>
      </c>
      <c r="L5" t="s">
        <v>34</v>
      </c>
      <c r="M5">
        <f t="shared" si="0"/>
        <v>95.9</v>
      </c>
      <c r="N5" t="str">
        <f t="shared" si="1"/>
        <v>Mar</v>
      </c>
    </row>
    <row r="6" spans="1:14" x14ac:dyDescent="0.3">
      <c r="A6" t="s">
        <v>35</v>
      </c>
      <c r="B6">
        <v>40</v>
      </c>
      <c r="C6" t="s">
        <v>13</v>
      </c>
      <c r="D6" t="s">
        <v>26</v>
      </c>
      <c r="E6" t="s">
        <v>21</v>
      </c>
      <c r="F6" t="s">
        <v>36</v>
      </c>
      <c r="G6" t="s">
        <v>37</v>
      </c>
      <c r="H6">
        <v>6.61</v>
      </c>
      <c r="I6">
        <v>1</v>
      </c>
      <c r="J6" s="1">
        <v>45665</v>
      </c>
      <c r="K6">
        <v>3</v>
      </c>
      <c r="L6" t="s">
        <v>30</v>
      </c>
      <c r="M6">
        <f t="shared" si="0"/>
        <v>6.61</v>
      </c>
      <c r="N6" t="str">
        <f t="shared" si="1"/>
        <v>Jan</v>
      </c>
    </row>
    <row r="7" spans="1:14" x14ac:dyDescent="0.3">
      <c r="A7" t="s">
        <v>38</v>
      </c>
      <c r="B7">
        <v>36</v>
      </c>
      <c r="C7" t="s">
        <v>13</v>
      </c>
      <c r="D7" t="s">
        <v>14</v>
      </c>
      <c r="E7" t="s">
        <v>15</v>
      </c>
      <c r="F7" t="s">
        <v>39</v>
      </c>
      <c r="G7" t="s">
        <v>40</v>
      </c>
      <c r="H7">
        <v>16.84</v>
      </c>
      <c r="I7">
        <v>4</v>
      </c>
      <c r="J7" s="1">
        <v>45816</v>
      </c>
      <c r="K7">
        <v>3</v>
      </c>
      <c r="L7" t="s">
        <v>34</v>
      </c>
      <c r="M7">
        <f t="shared" si="0"/>
        <v>67.36</v>
      </c>
      <c r="N7" t="str">
        <f t="shared" si="1"/>
        <v>Jun</v>
      </c>
    </row>
    <row r="8" spans="1:14" x14ac:dyDescent="0.3">
      <c r="A8" t="s">
        <v>41</v>
      </c>
      <c r="B8">
        <v>28</v>
      </c>
      <c r="C8" t="s">
        <v>25</v>
      </c>
      <c r="D8" t="s">
        <v>42</v>
      </c>
      <c r="E8" t="s">
        <v>27</v>
      </c>
      <c r="F8" t="s">
        <v>43</v>
      </c>
      <c r="G8" t="s">
        <v>33</v>
      </c>
      <c r="H8">
        <v>27.16</v>
      </c>
      <c r="I8">
        <v>3</v>
      </c>
      <c r="J8" s="1">
        <v>45748</v>
      </c>
      <c r="K8">
        <v>4</v>
      </c>
      <c r="L8" t="s">
        <v>44</v>
      </c>
      <c r="M8">
        <f t="shared" si="0"/>
        <v>81.48</v>
      </c>
      <c r="N8" t="str">
        <f t="shared" si="1"/>
        <v>Apr</v>
      </c>
    </row>
    <row r="9" spans="1:14" x14ac:dyDescent="0.3">
      <c r="A9" t="s">
        <v>45</v>
      </c>
      <c r="B9">
        <v>28</v>
      </c>
      <c r="C9" t="s">
        <v>13</v>
      </c>
      <c r="D9" t="s">
        <v>46</v>
      </c>
      <c r="E9" t="s">
        <v>21</v>
      </c>
      <c r="F9" t="s">
        <v>47</v>
      </c>
      <c r="G9" t="s">
        <v>40</v>
      </c>
      <c r="H9">
        <v>31.58</v>
      </c>
      <c r="I9">
        <v>4</v>
      </c>
      <c r="J9" s="1">
        <v>45766</v>
      </c>
      <c r="K9">
        <v>4</v>
      </c>
      <c r="L9" t="s">
        <v>48</v>
      </c>
      <c r="M9">
        <f t="shared" si="0"/>
        <v>126.32</v>
      </c>
      <c r="N9" t="str">
        <f t="shared" si="1"/>
        <v>Apr</v>
      </c>
    </row>
    <row r="10" spans="1:14" x14ac:dyDescent="0.3">
      <c r="A10" t="s">
        <v>49</v>
      </c>
      <c r="B10">
        <v>28</v>
      </c>
      <c r="C10" t="s">
        <v>13</v>
      </c>
      <c r="D10" t="s">
        <v>42</v>
      </c>
      <c r="E10" t="s">
        <v>15</v>
      </c>
      <c r="F10" t="s">
        <v>43</v>
      </c>
      <c r="G10" t="s">
        <v>50</v>
      </c>
      <c r="H10">
        <v>14.02</v>
      </c>
      <c r="I10">
        <v>3</v>
      </c>
      <c r="J10" s="1">
        <v>45861</v>
      </c>
      <c r="K10">
        <v>5</v>
      </c>
      <c r="L10" t="s">
        <v>18</v>
      </c>
      <c r="M10">
        <f t="shared" si="0"/>
        <v>42.06</v>
      </c>
      <c r="N10" t="str">
        <f t="shared" si="1"/>
        <v>Jul</v>
      </c>
    </row>
    <row r="11" spans="1:14" x14ac:dyDescent="0.3">
      <c r="A11" t="s">
        <v>51</v>
      </c>
      <c r="B11">
        <v>20</v>
      </c>
      <c r="C11" t="s">
        <v>13</v>
      </c>
      <c r="D11" t="s">
        <v>14</v>
      </c>
      <c r="E11" t="s">
        <v>15</v>
      </c>
      <c r="F11" t="s">
        <v>39</v>
      </c>
      <c r="G11" t="s">
        <v>23</v>
      </c>
      <c r="H11">
        <v>24.77</v>
      </c>
      <c r="I11">
        <v>2</v>
      </c>
      <c r="J11" s="1">
        <v>45803</v>
      </c>
      <c r="K11">
        <v>5</v>
      </c>
      <c r="L11" t="s">
        <v>44</v>
      </c>
      <c r="M11">
        <f t="shared" si="0"/>
        <v>49.54</v>
      </c>
      <c r="N11" t="str">
        <f t="shared" si="1"/>
        <v>May</v>
      </c>
    </row>
    <row r="12" spans="1:14" x14ac:dyDescent="0.3">
      <c r="A12" t="s">
        <v>52</v>
      </c>
      <c r="B12">
        <v>33</v>
      </c>
      <c r="C12" t="s">
        <v>13</v>
      </c>
      <c r="D12" t="s">
        <v>42</v>
      </c>
      <c r="E12" t="s">
        <v>21</v>
      </c>
      <c r="F12" t="s">
        <v>53</v>
      </c>
      <c r="G12" t="s">
        <v>40</v>
      </c>
      <c r="H12">
        <v>31.14</v>
      </c>
      <c r="I12">
        <v>5</v>
      </c>
      <c r="J12" s="1">
        <v>45915</v>
      </c>
      <c r="K12">
        <v>5</v>
      </c>
      <c r="L12" t="s">
        <v>30</v>
      </c>
      <c r="M12">
        <f t="shared" si="0"/>
        <v>155.69999999999999</v>
      </c>
      <c r="N12" t="str">
        <f t="shared" si="1"/>
        <v>Sep</v>
      </c>
    </row>
    <row r="13" spans="1:14" x14ac:dyDescent="0.3">
      <c r="A13" t="s">
        <v>54</v>
      </c>
      <c r="B13">
        <v>28</v>
      </c>
      <c r="C13" t="s">
        <v>13</v>
      </c>
      <c r="D13" t="s">
        <v>14</v>
      </c>
      <c r="E13" t="s">
        <v>21</v>
      </c>
      <c r="F13" t="s">
        <v>55</v>
      </c>
      <c r="G13" t="s">
        <v>17</v>
      </c>
      <c r="H13">
        <v>34.58</v>
      </c>
      <c r="I13">
        <v>3</v>
      </c>
      <c r="J13" s="1">
        <v>45918</v>
      </c>
      <c r="K13">
        <v>3</v>
      </c>
      <c r="L13" t="s">
        <v>44</v>
      </c>
      <c r="M13">
        <f t="shared" si="0"/>
        <v>103.74</v>
      </c>
      <c r="N13" t="str">
        <f t="shared" si="1"/>
        <v>Sep</v>
      </c>
    </row>
    <row r="14" spans="1:14" x14ac:dyDescent="0.3">
      <c r="A14" t="s">
        <v>56</v>
      </c>
      <c r="B14">
        <v>45</v>
      </c>
      <c r="C14" t="s">
        <v>25</v>
      </c>
      <c r="D14" t="s">
        <v>42</v>
      </c>
      <c r="E14" t="s">
        <v>15</v>
      </c>
      <c r="F14" t="s">
        <v>53</v>
      </c>
      <c r="G14" t="s">
        <v>40</v>
      </c>
      <c r="H14">
        <v>23.61</v>
      </c>
      <c r="I14">
        <v>3</v>
      </c>
      <c r="J14" s="1">
        <v>45822</v>
      </c>
      <c r="K14">
        <v>3</v>
      </c>
      <c r="L14" t="s">
        <v>44</v>
      </c>
      <c r="M14">
        <f t="shared" si="0"/>
        <v>70.83</v>
      </c>
      <c r="N14" t="str">
        <f t="shared" si="1"/>
        <v>Jun</v>
      </c>
    </row>
    <row r="15" spans="1:14" x14ac:dyDescent="0.3">
      <c r="A15" t="s">
        <v>57</v>
      </c>
      <c r="B15">
        <v>35</v>
      </c>
      <c r="C15" t="s">
        <v>13</v>
      </c>
      <c r="D15" t="s">
        <v>20</v>
      </c>
      <c r="E15" t="s">
        <v>27</v>
      </c>
      <c r="F15" t="s">
        <v>58</v>
      </c>
      <c r="G15" t="s">
        <v>33</v>
      </c>
      <c r="H15">
        <v>13.43</v>
      </c>
      <c r="I15">
        <v>3</v>
      </c>
      <c r="J15" s="1">
        <v>45690</v>
      </c>
      <c r="K15">
        <v>5</v>
      </c>
      <c r="L15" t="s">
        <v>59</v>
      </c>
      <c r="M15">
        <f t="shared" si="0"/>
        <v>40.29</v>
      </c>
      <c r="N15" t="str">
        <f t="shared" si="1"/>
        <v>Feb</v>
      </c>
    </row>
    <row r="16" spans="1:14" x14ac:dyDescent="0.3">
      <c r="A16" t="s">
        <v>60</v>
      </c>
      <c r="B16">
        <v>29</v>
      </c>
      <c r="C16" t="s">
        <v>13</v>
      </c>
      <c r="D16" t="s">
        <v>20</v>
      </c>
      <c r="E16" t="s">
        <v>27</v>
      </c>
      <c r="F16" t="s">
        <v>22</v>
      </c>
      <c r="G16" t="s">
        <v>23</v>
      </c>
      <c r="H16">
        <v>26.67</v>
      </c>
      <c r="I16">
        <v>1</v>
      </c>
      <c r="J16" s="1">
        <v>45818</v>
      </c>
      <c r="K16">
        <v>4</v>
      </c>
      <c r="L16" t="s">
        <v>34</v>
      </c>
      <c r="M16">
        <f t="shared" si="0"/>
        <v>26.67</v>
      </c>
      <c r="N16" t="str">
        <f t="shared" si="1"/>
        <v>Jun</v>
      </c>
    </row>
    <row r="17" spans="1:14" x14ac:dyDescent="0.3">
      <c r="A17" t="s">
        <v>61</v>
      </c>
      <c r="B17">
        <v>33</v>
      </c>
      <c r="C17" t="s">
        <v>13</v>
      </c>
      <c r="D17" t="s">
        <v>26</v>
      </c>
      <c r="E17" t="s">
        <v>27</v>
      </c>
      <c r="F17" t="s">
        <v>36</v>
      </c>
      <c r="G17" t="s">
        <v>50</v>
      </c>
      <c r="H17">
        <v>24.89</v>
      </c>
      <c r="I17">
        <v>3</v>
      </c>
      <c r="J17" s="1">
        <v>45998</v>
      </c>
      <c r="K17">
        <v>4</v>
      </c>
      <c r="L17" t="s">
        <v>30</v>
      </c>
      <c r="M17">
        <f t="shared" si="0"/>
        <v>74.67</v>
      </c>
      <c r="N17" t="str">
        <f t="shared" si="1"/>
        <v>Dec</v>
      </c>
    </row>
    <row r="18" spans="1:14" x14ac:dyDescent="0.3">
      <c r="A18" t="s">
        <v>62</v>
      </c>
      <c r="B18">
        <v>39</v>
      </c>
      <c r="C18" t="s">
        <v>25</v>
      </c>
      <c r="D18" t="s">
        <v>20</v>
      </c>
      <c r="E18" t="s">
        <v>21</v>
      </c>
      <c r="F18" t="s">
        <v>63</v>
      </c>
      <c r="G18" t="s">
        <v>33</v>
      </c>
      <c r="H18">
        <v>37.28</v>
      </c>
      <c r="I18">
        <v>5</v>
      </c>
      <c r="J18" s="1">
        <v>45704</v>
      </c>
      <c r="K18">
        <v>4</v>
      </c>
      <c r="L18" t="s">
        <v>18</v>
      </c>
      <c r="M18">
        <f t="shared" si="0"/>
        <v>186.4</v>
      </c>
      <c r="N18" t="str">
        <f t="shared" si="1"/>
        <v>Feb</v>
      </c>
    </row>
    <row r="19" spans="1:14" x14ac:dyDescent="0.3">
      <c r="A19" t="s">
        <v>64</v>
      </c>
      <c r="B19">
        <v>31</v>
      </c>
      <c r="C19" t="s">
        <v>13</v>
      </c>
      <c r="D19" t="s">
        <v>42</v>
      </c>
      <c r="E19" t="s">
        <v>15</v>
      </c>
      <c r="F19" t="s">
        <v>65</v>
      </c>
      <c r="G19" t="s">
        <v>17</v>
      </c>
      <c r="H19">
        <v>10.62</v>
      </c>
      <c r="I19">
        <v>5</v>
      </c>
      <c r="J19" s="1">
        <v>45900</v>
      </c>
      <c r="K19">
        <v>5</v>
      </c>
      <c r="L19" t="s">
        <v>18</v>
      </c>
      <c r="M19">
        <f t="shared" si="0"/>
        <v>53.099999999999994</v>
      </c>
      <c r="N19" t="str">
        <f t="shared" si="1"/>
        <v>Aug</v>
      </c>
    </row>
    <row r="20" spans="1:14" x14ac:dyDescent="0.3">
      <c r="A20" t="s">
        <v>66</v>
      </c>
      <c r="B20">
        <v>24</v>
      </c>
      <c r="C20" t="s">
        <v>25</v>
      </c>
      <c r="D20" t="s">
        <v>42</v>
      </c>
      <c r="E20" t="s">
        <v>21</v>
      </c>
      <c r="F20" t="s">
        <v>43</v>
      </c>
      <c r="G20" t="s">
        <v>40</v>
      </c>
      <c r="H20">
        <v>17.28</v>
      </c>
      <c r="I20">
        <v>4</v>
      </c>
      <c r="J20" s="1">
        <v>46006</v>
      </c>
      <c r="K20">
        <v>4</v>
      </c>
      <c r="L20" t="s">
        <v>34</v>
      </c>
      <c r="M20">
        <f t="shared" si="0"/>
        <v>69.12</v>
      </c>
      <c r="N20" t="str">
        <f t="shared" si="1"/>
        <v>Dec</v>
      </c>
    </row>
    <row r="21" spans="1:14" x14ac:dyDescent="0.3">
      <c r="A21" t="s">
        <v>67</v>
      </c>
      <c r="B21">
        <v>32</v>
      </c>
      <c r="C21" t="s">
        <v>25</v>
      </c>
      <c r="D21" t="s">
        <v>46</v>
      </c>
      <c r="E21" t="s">
        <v>27</v>
      </c>
      <c r="F21" t="s">
        <v>68</v>
      </c>
      <c r="G21" t="s">
        <v>33</v>
      </c>
      <c r="H21">
        <v>34.19</v>
      </c>
      <c r="I21">
        <v>1</v>
      </c>
      <c r="J21" s="1">
        <v>45994</v>
      </c>
      <c r="K21">
        <v>3</v>
      </c>
      <c r="L21" t="s">
        <v>59</v>
      </c>
      <c r="M21">
        <f t="shared" si="0"/>
        <v>34.19</v>
      </c>
      <c r="N21" t="str">
        <f t="shared" si="1"/>
        <v>Dec</v>
      </c>
    </row>
    <row r="22" spans="1:14" x14ac:dyDescent="0.3">
      <c r="A22" t="s">
        <v>69</v>
      </c>
      <c r="B22">
        <v>18</v>
      </c>
      <c r="C22" t="s">
        <v>25</v>
      </c>
      <c r="D22" t="s">
        <v>42</v>
      </c>
      <c r="E22" t="s">
        <v>21</v>
      </c>
      <c r="F22" t="s">
        <v>43</v>
      </c>
      <c r="G22" t="s">
        <v>37</v>
      </c>
      <c r="H22">
        <v>20.67</v>
      </c>
      <c r="I22">
        <v>4</v>
      </c>
      <c r="J22" s="1">
        <v>45738</v>
      </c>
      <c r="K22">
        <v>5</v>
      </c>
      <c r="L22" t="s">
        <v>48</v>
      </c>
      <c r="M22">
        <f t="shared" si="0"/>
        <v>82.68</v>
      </c>
      <c r="N22" t="str">
        <f t="shared" si="1"/>
        <v>Mar</v>
      </c>
    </row>
    <row r="23" spans="1:14" x14ac:dyDescent="0.3">
      <c r="A23" t="s">
        <v>70</v>
      </c>
      <c r="B23">
        <v>31</v>
      </c>
      <c r="C23" t="s">
        <v>13</v>
      </c>
      <c r="D23" t="s">
        <v>20</v>
      </c>
      <c r="E23" t="s">
        <v>15</v>
      </c>
      <c r="F23" t="s">
        <v>58</v>
      </c>
      <c r="G23" t="s">
        <v>37</v>
      </c>
      <c r="H23">
        <v>7.29</v>
      </c>
      <c r="I23">
        <v>4</v>
      </c>
      <c r="J23" s="1">
        <v>45791</v>
      </c>
      <c r="K23">
        <v>3</v>
      </c>
      <c r="L23" t="s">
        <v>59</v>
      </c>
      <c r="M23">
        <f t="shared" si="0"/>
        <v>29.16</v>
      </c>
      <c r="N23" t="str">
        <f t="shared" si="1"/>
        <v>May</v>
      </c>
    </row>
    <row r="24" spans="1:14" x14ac:dyDescent="0.3">
      <c r="A24" t="s">
        <v>71</v>
      </c>
      <c r="B24">
        <v>26</v>
      </c>
      <c r="C24" t="s">
        <v>13</v>
      </c>
      <c r="D24" t="s">
        <v>20</v>
      </c>
      <c r="E24" t="s">
        <v>27</v>
      </c>
      <c r="F24" t="s">
        <v>22</v>
      </c>
      <c r="G24" t="s">
        <v>29</v>
      </c>
      <c r="H24">
        <v>6.53</v>
      </c>
      <c r="I24">
        <v>2</v>
      </c>
      <c r="J24" s="1">
        <v>45887</v>
      </c>
      <c r="K24">
        <v>3</v>
      </c>
      <c r="L24" t="s">
        <v>34</v>
      </c>
      <c r="M24">
        <f t="shared" si="0"/>
        <v>13.06</v>
      </c>
      <c r="N24" t="str">
        <f t="shared" si="1"/>
        <v>Aug</v>
      </c>
    </row>
    <row r="25" spans="1:14" x14ac:dyDescent="0.3">
      <c r="A25" t="s">
        <v>72</v>
      </c>
      <c r="B25">
        <v>44</v>
      </c>
      <c r="C25" t="s">
        <v>13</v>
      </c>
      <c r="D25" t="s">
        <v>14</v>
      </c>
      <c r="E25" t="s">
        <v>15</v>
      </c>
      <c r="F25" t="s">
        <v>39</v>
      </c>
      <c r="G25" t="s">
        <v>17</v>
      </c>
      <c r="H25">
        <v>17.190000000000001</v>
      </c>
      <c r="I25">
        <v>5</v>
      </c>
      <c r="J25" s="1">
        <v>45767</v>
      </c>
      <c r="K25">
        <v>4</v>
      </c>
      <c r="L25" t="s">
        <v>73</v>
      </c>
      <c r="M25">
        <f t="shared" si="0"/>
        <v>85.95</v>
      </c>
      <c r="N25" t="str">
        <f t="shared" si="1"/>
        <v>Apr</v>
      </c>
    </row>
    <row r="26" spans="1:14" x14ac:dyDescent="0.3">
      <c r="A26" t="s">
        <v>74</v>
      </c>
      <c r="B26">
        <v>30</v>
      </c>
      <c r="C26" t="s">
        <v>13</v>
      </c>
      <c r="D26" t="s">
        <v>46</v>
      </c>
      <c r="E26" t="s">
        <v>21</v>
      </c>
      <c r="F26" t="s">
        <v>75</v>
      </c>
      <c r="G26" t="s">
        <v>17</v>
      </c>
      <c r="H26">
        <v>12.85</v>
      </c>
      <c r="I26">
        <v>5</v>
      </c>
      <c r="J26" s="1">
        <v>45981</v>
      </c>
      <c r="K26">
        <v>3</v>
      </c>
      <c r="L26" t="s">
        <v>73</v>
      </c>
      <c r="M26">
        <f t="shared" si="0"/>
        <v>64.25</v>
      </c>
      <c r="N26" t="str">
        <f t="shared" si="1"/>
        <v>Nov</v>
      </c>
    </row>
    <row r="27" spans="1:14" x14ac:dyDescent="0.3">
      <c r="A27" t="s">
        <v>76</v>
      </c>
      <c r="B27">
        <v>20</v>
      </c>
      <c r="C27" t="s">
        <v>13</v>
      </c>
      <c r="D27" t="s">
        <v>42</v>
      </c>
      <c r="E27" t="s">
        <v>27</v>
      </c>
      <c r="F27" t="s">
        <v>65</v>
      </c>
      <c r="G27" t="s">
        <v>37</v>
      </c>
      <c r="H27">
        <v>25.41</v>
      </c>
      <c r="I27">
        <v>1</v>
      </c>
      <c r="J27" s="1">
        <v>45882</v>
      </c>
      <c r="K27">
        <v>3</v>
      </c>
      <c r="L27" t="s">
        <v>48</v>
      </c>
      <c r="M27">
        <f t="shared" si="0"/>
        <v>25.41</v>
      </c>
      <c r="N27" t="str">
        <f t="shared" si="1"/>
        <v>Aug</v>
      </c>
    </row>
    <row r="28" spans="1:14" x14ac:dyDescent="0.3">
      <c r="A28" t="s">
        <v>77</v>
      </c>
      <c r="B28">
        <v>39</v>
      </c>
      <c r="C28" t="s">
        <v>13</v>
      </c>
      <c r="D28" t="s">
        <v>20</v>
      </c>
      <c r="E28" t="s">
        <v>27</v>
      </c>
      <c r="F28" t="s">
        <v>22</v>
      </c>
      <c r="G28" t="s">
        <v>29</v>
      </c>
      <c r="H28">
        <v>7.16</v>
      </c>
      <c r="I28">
        <v>3</v>
      </c>
      <c r="J28" s="1">
        <v>45827</v>
      </c>
      <c r="K28">
        <v>3</v>
      </c>
      <c r="L28" t="s">
        <v>48</v>
      </c>
      <c r="M28">
        <f t="shared" si="0"/>
        <v>21.48</v>
      </c>
      <c r="N28" t="str">
        <f t="shared" si="1"/>
        <v>Jun</v>
      </c>
    </row>
    <row r="29" spans="1:14" x14ac:dyDescent="0.3">
      <c r="A29" t="s">
        <v>78</v>
      </c>
      <c r="B29">
        <v>23</v>
      </c>
      <c r="C29" t="s">
        <v>13</v>
      </c>
      <c r="D29" t="s">
        <v>20</v>
      </c>
      <c r="E29" t="s">
        <v>21</v>
      </c>
      <c r="F29" t="s">
        <v>58</v>
      </c>
      <c r="G29" t="s">
        <v>17</v>
      </c>
      <c r="H29">
        <v>11.95</v>
      </c>
      <c r="I29">
        <v>3</v>
      </c>
      <c r="J29" s="1">
        <v>45818</v>
      </c>
      <c r="K29">
        <v>5</v>
      </c>
      <c r="L29" t="s">
        <v>73</v>
      </c>
      <c r="M29">
        <f t="shared" si="0"/>
        <v>35.849999999999994</v>
      </c>
      <c r="N29" t="str">
        <f t="shared" si="1"/>
        <v>Jun</v>
      </c>
    </row>
    <row r="30" spans="1:14" x14ac:dyDescent="0.3">
      <c r="A30" t="s">
        <v>79</v>
      </c>
      <c r="B30">
        <v>36</v>
      </c>
      <c r="C30" t="s">
        <v>13</v>
      </c>
      <c r="D30" t="s">
        <v>26</v>
      </c>
      <c r="E30" t="s">
        <v>21</v>
      </c>
      <c r="F30" t="s">
        <v>36</v>
      </c>
      <c r="G30" t="s">
        <v>17</v>
      </c>
      <c r="H30">
        <v>14.81</v>
      </c>
      <c r="I30">
        <v>4</v>
      </c>
      <c r="J30" s="1">
        <v>45698</v>
      </c>
      <c r="K30">
        <v>5</v>
      </c>
      <c r="L30" t="s">
        <v>73</v>
      </c>
      <c r="M30">
        <f t="shared" si="0"/>
        <v>59.24</v>
      </c>
      <c r="N30" t="str">
        <f t="shared" si="1"/>
        <v>Feb</v>
      </c>
    </row>
    <row r="31" spans="1:14" x14ac:dyDescent="0.3">
      <c r="A31" t="s">
        <v>80</v>
      </c>
      <c r="B31">
        <v>31</v>
      </c>
      <c r="C31" t="s">
        <v>13</v>
      </c>
      <c r="D31" t="s">
        <v>46</v>
      </c>
      <c r="E31" t="s">
        <v>15</v>
      </c>
      <c r="F31" t="s">
        <v>68</v>
      </c>
      <c r="G31" t="s">
        <v>40</v>
      </c>
      <c r="H31">
        <v>19.39</v>
      </c>
      <c r="I31">
        <v>3</v>
      </c>
      <c r="J31" s="1">
        <v>45748</v>
      </c>
      <c r="K31">
        <v>3</v>
      </c>
      <c r="L31" t="s">
        <v>44</v>
      </c>
      <c r="M31">
        <f t="shared" si="0"/>
        <v>58.17</v>
      </c>
      <c r="N31" t="str">
        <f t="shared" si="1"/>
        <v>Apr</v>
      </c>
    </row>
    <row r="32" spans="1:14" x14ac:dyDescent="0.3">
      <c r="A32" t="s">
        <v>81</v>
      </c>
      <c r="B32">
        <v>33</v>
      </c>
      <c r="C32" t="s">
        <v>13</v>
      </c>
      <c r="D32" t="s">
        <v>26</v>
      </c>
      <c r="E32" t="s">
        <v>15</v>
      </c>
      <c r="F32" t="s">
        <v>36</v>
      </c>
      <c r="G32" t="s">
        <v>33</v>
      </c>
      <c r="H32">
        <v>21.69</v>
      </c>
      <c r="I32">
        <v>5</v>
      </c>
      <c r="J32" s="1">
        <v>45761</v>
      </c>
      <c r="K32">
        <v>5</v>
      </c>
      <c r="L32" t="s">
        <v>44</v>
      </c>
      <c r="M32">
        <f t="shared" si="0"/>
        <v>108.45</v>
      </c>
      <c r="N32" t="str">
        <f t="shared" si="1"/>
        <v>Apr</v>
      </c>
    </row>
    <row r="33" spans="1:14" x14ac:dyDescent="0.3">
      <c r="A33" t="s">
        <v>82</v>
      </c>
      <c r="B33">
        <v>42</v>
      </c>
      <c r="C33" t="s">
        <v>13</v>
      </c>
      <c r="D33" t="s">
        <v>14</v>
      </c>
      <c r="E33" t="s">
        <v>15</v>
      </c>
      <c r="F33" t="s">
        <v>16</v>
      </c>
      <c r="G33" t="s">
        <v>29</v>
      </c>
      <c r="H33">
        <v>12.89</v>
      </c>
      <c r="I33">
        <v>2</v>
      </c>
      <c r="J33" s="1">
        <v>45678</v>
      </c>
      <c r="K33">
        <v>5</v>
      </c>
      <c r="L33" t="s">
        <v>59</v>
      </c>
      <c r="M33">
        <f t="shared" si="0"/>
        <v>25.78</v>
      </c>
      <c r="N33" t="str">
        <f t="shared" si="1"/>
        <v>Jan</v>
      </c>
    </row>
    <row r="34" spans="1:14" x14ac:dyDescent="0.3">
      <c r="A34" t="s">
        <v>83</v>
      </c>
      <c r="B34">
        <v>20</v>
      </c>
      <c r="C34" t="s">
        <v>13</v>
      </c>
      <c r="D34" t="s">
        <v>20</v>
      </c>
      <c r="E34" t="s">
        <v>15</v>
      </c>
      <c r="F34" t="s">
        <v>63</v>
      </c>
      <c r="G34" t="s">
        <v>50</v>
      </c>
      <c r="H34">
        <v>27.4</v>
      </c>
      <c r="I34">
        <v>1</v>
      </c>
      <c r="J34" s="1">
        <v>45779</v>
      </c>
      <c r="K34">
        <v>3</v>
      </c>
      <c r="L34" t="s">
        <v>48</v>
      </c>
      <c r="M34">
        <f t="shared" ref="M34:M65" si="2">H34*I34</f>
        <v>27.4</v>
      </c>
      <c r="N34" t="str">
        <f t="shared" ref="N34:N65" si="3">TEXT(J34,"mmm")</f>
        <v>May</v>
      </c>
    </row>
    <row r="35" spans="1:14" x14ac:dyDescent="0.3">
      <c r="A35" t="s">
        <v>84</v>
      </c>
      <c r="B35">
        <v>18</v>
      </c>
      <c r="C35" t="s">
        <v>25</v>
      </c>
      <c r="D35" t="s">
        <v>46</v>
      </c>
      <c r="E35" t="s">
        <v>15</v>
      </c>
      <c r="F35" t="s">
        <v>68</v>
      </c>
      <c r="G35" t="s">
        <v>17</v>
      </c>
      <c r="H35">
        <v>7.14</v>
      </c>
      <c r="I35">
        <v>3</v>
      </c>
      <c r="J35" s="1">
        <v>45859</v>
      </c>
      <c r="K35">
        <v>4</v>
      </c>
      <c r="L35" t="s">
        <v>48</v>
      </c>
      <c r="M35">
        <f t="shared" si="2"/>
        <v>21.419999999999998</v>
      </c>
      <c r="N35" t="str">
        <f t="shared" si="3"/>
        <v>Jul</v>
      </c>
    </row>
    <row r="36" spans="1:14" x14ac:dyDescent="0.3">
      <c r="A36" t="s">
        <v>85</v>
      </c>
      <c r="B36">
        <v>32</v>
      </c>
      <c r="C36" t="s">
        <v>13</v>
      </c>
      <c r="D36" t="s">
        <v>26</v>
      </c>
      <c r="E36" t="s">
        <v>21</v>
      </c>
      <c r="F36" t="s">
        <v>32</v>
      </c>
      <c r="G36" t="s">
        <v>33</v>
      </c>
      <c r="H36">
        <v>34.97</v>
      </c>
      <c r="I36">
        <v>1</v>
      </c>
      <c r="J36" s="1">
        <v>45760</v>
      </c>
      <c r="K36">
        <v>3</v>
      </c>
      <c r="L36" t="s">
        <v>18</v>
      </c>
      <c r="M36">
        <f t="shared" si="2"/>
        <v>34.97</v>
      </c>
      <c r="N36" t="str">
        <f t="shared" si="3"/>
        <v>Apr</v>
      </c>
    </row>
    <row r="37" spans="1:14" x14ac:dyDescent="0.3">
      <c r="A37" t="s">
        <v>86</v>
      </c>
      <c r="B37">
        <v>40</v>
      </c>
      <c r="C37" t="s">
        <v>25</v>
      </c>
      <c r="D37" t="s">
        <v>26</v>
      </c>
      <c r="E37" t="s">
        <v>21</v>
      </c>
      <c r="F37" t="s">
        <v>28</v>
      </c>
      <c r="G37" t="s">
        <v>29</v>
      </c>
      <c r="H37">
        <v>20.91</v>
      </c>
      <c r="I37">
        <v>2</v>
      </c>
      <c r="J37" s="1">
        <v>45740</v>
      </c>
      <c r="K37">
        <v>4</v>
      </c>
      <c r="L37" t="s">
        <v>18</v>
      </c>
      <c r="M37">
        <f t="shared" si="2"/>
        <v>41.82</v>
      </c>
      <c r="N37" t="str">
        <f t="shared" si="3"/>
        <v>Mar</v>
      </c>
    </row>
    <row r="38" spans="1:14" x14ac:dyDescent="0.3">
      <c r="A38" t="s">
        <v>87</v>
      </c>
      <c r="B38">
        <v>45</v>
      </c>
      <c r="C38" t="s">
        <v>25</v>
      </c>
      <c r="D38" t="s">
        <v>42</v>
      </c>
      <c r="E38" t="s">
        <v>27</v>
      </c>
      <c r="F38" t="s">
        <v>53</v>
      </c>
      <c r="G38" t="s">
        <v>40</v>
      </c>
      <c r="H38">
        <v>35.15</v>
      </c>
      <c r="I38">
        <v>5</v>
      </c>
      <c r="J38" s="1">
        <v>45985</v>
      </c>
      <c r="K38">
        <v>5</v>
      </c>
      <c r="L38" t="s">
        <v>48</v>
      </c>
      <c r="M38">
        <f t="shared" si="2"/>
        <v>175.75</v>
      </c>
      <c r="N38" t="str">
        <f t="shared" si="3"/>
        <v>Nov</v>
      </c>
    </row>
    <row r="39" spans="1:14" x14ac:dyDescent="0.3">
      <c r="A39" t="s">
        <v>88</v>
      </c>
      <c r="B39">
        <v>45</v>
      </c>
      <c r="C39" t="s">
        <v>13</v>
      </c>
      <c r="D39" t="s">
        <v>46</v>
      </c>
      <c r="E39" t="s">
        <v>15</v>
      </c>
      <c r="F39" t="s">
        <v>75</v>
      </c>
      <c r="G39" t="s">
        <v>37</v>
      </c>
      <c r="H39">
        <v>5.68</v>
      </c>
      <c r="I39">
        <v>2</v>
      </c>
      <c r="J39" s="1">
        <v>45744</v>
      </c>
      <c r="K39">
        <v>4</v>
      </c>
      <c r="L39" t="s">
        <v>18</v>
      </c>
      <c r="M39">
        <f t="shared" si="2"/>
        <v>11.36</v>
      </c>
      <c r="N39" t="str">
        <f t="shared" si="3"/>
        <v>Mar</v>
      </c>
    </row>
    <row r="40" spans="1:14" x14ac:dyDescent="0.3">
      <c r="A40" t="s">
        <v>89</v>
      </c>
      <c r="B40">
        <v>44</v>
      </c>
      <c r="C40" t="s">
        <v>25</v>
      </c>
      <c r="D40" t="s">
        <v>14</v>
      </c>
      <c r="E40" t="s">
        <v>27</v>
      </c>
      <c r="F40" t="s">
        <v>16</v>
      </c>
      <c r="G40" t="s">
        <v>23</v>
      </c>
      <c r="H40">
        <v>5.0999999999999996</v>
      </c>
      <c r="I40">
        <v>5</v>
      </c>
      <c r="J40" s="1">
        <v>46013</v>
      </c>
      <c r="K40">
        <v>5</v>
      </c>
      <c r="L40" t="s">
        <v>73</v>
      </c>
      <c r="M40">
        <f t="shared" si="2"/>
        <v>25.5</v>
      </c>
      <c r="N40" t="str">
        <f t="shared" si="3"/>
        <v>Dec</v>
      </c>
    </row>
    <row r="41" spans="1:14" x14ac:dyDescent="0.3">
      <c r="A41" t="s">
        <v>90</v>
      </c>
      <c r="B41">
        <v>29</v>
      </c>
      <c r="C41" t="s">
        <v>25</v>
      </c>
      <c r="D41" t="s">
        <v>14</v>
      </c>
      <c r="E41" t="s">
        <v>15</v>
      </c>
      <c r="F41" t="s">
        <v>16</v>
      </c>
      <c r="G41" t="s">
        <v>29</v>
      </c>
      <c r="H41">
        <v>35.58</v>
      </c>
      <c r="I41">
        <v>2</v>
      </c>
      <c r="J41" s="1">
        <v>45678</v>
      </c>
      <c r="K41">
        <v>3</v>
      </c>
      <c r="L41" t="s">
        <v>48</v>
      </c>
      <c r="M41">
        <f t="shared" si="2"/>
        <v>71.16</v>
      </c>
      <c r="N41" t="str">
        <f t="shared" si="3"/>
        <v>Jan</v>
      </c>
    </row>
    <row r="42" spans="1:14" x14ac:dyDescent="0.3">
      <c r="A42" t="s">
        <v>91</v>
      </c>
      <c r="B42">
        <v>45</v>
      </c>
      <c r="C42" t="s">
        <v>25</v>
      </c>
      <c r="D42" t="s">
        <v>20</v>
      </c>
      <c r="E42" t="s">
        <v>15</v>
      </c>
      <c r="F42" t="s">
        <v>58</v>
      </c>
      <c r="G42" t="s">
        <v>17</v>
      </c>
      <c r="H42">
        <v>39.78</v>
      </c>
      <c r="I42">
        <v>2</v>
      </c>
      <c r="J42" s="1">
        <v>45838</v>
      </c>
      <c r="K42">
        <v>4</v>
      </c>
      <c r="L42" t="s">
        <v>48</v>
      </c>
      <c r="M42">
        <f t="shared" si="2"/>
        <v>79.56</v>
      </c>
      <c r="N42" t="str">
        <f t="shared" si="3"/>
        <v>Jun</v>
      </c>
    </row>
    <row r="43" spans="1:14" x14ac:dyDescent="0.3">
      <c r="A43" t="s">
        <v>92</v>
      </c>
      <c r="B43">
        <v>18</v>
      </c>
      <c r="C43" t="s">
        <v>25</v>
      </c>
      <c r="D43" t="s">
        <v>14</v>
      </c>
      <c r="E43" t="s">
        <v>27</v>
      </c>
      <c r="F43" t="s">
        <v>55</v>
      </c>
      <c r="G43" t="s">
        <v>29</v>
      </c>
      <c r="H43">
        <v>25.19</v>
      </c>
      <c r="I43">
        <v>5</v>
      </c>
      <c r="J43" s="1">
        <v>45684</v>
      </c>
      <c r="K43">
        <v>5</v>
      </c>
      <c r="L43" t="s">
        <v>48</v>
      </c>
      <c r="M43">
        <f t="shared" si="2"/>
        <v>125.95</v>
      </c>
      <c r="N43" t="str">
        <f t="shared" si="3"/>
        <v>Jan</v>
      </c>
    </row>
    <row r="44" spans="1:14" x14ac:dyDescent="0.3">
      <c r="A44" t="s">
        <v>93</v>
      </c>
      <c r="B44">
        <v>38</v>
      </c>
      <c r="C44" t="s">
        <v>25</v>
      </c>
      <c r="D44" t="s">
        <v>20</v>
      </c>
      <c r="E44" t="s">
        <v>27</v>
      </c>
      <c r="F44" t="s">
        <v>22</v>
      </c>
      <c r="G44" t="s">
        <v>50</v>
      </c>
      <c r="H44">
        <v>9.85</v>
      </c>
      <c r="I44">
        <v>3</v>
      </c>
      <c r="J44" s="1">
        <v>45832</v>
      </c>
      <c r="K44">
        <v>4</v>
      </c>
      <c r="L44" t="s">
        <v>48</v>
      </c>
      <c r="M44">
        <f t="shared" si="2"/>
        <v>29.549999999999997</v>
      </c>
      <c r="N44" t="str">
        <f t="shared" si="3"/>
        <v>Jun</v>
      </c>
    </row>
    <row r="45" spans="1:14" x14ac:dyDescent="0.3">
      <c r="A45" t="s">
        <v>94</v>
      </c>
      <c r="B45">
        <v>35</v>
      </c>
      <c r="C45" t="s">
        <v>25</v>
      </c>
      <c r="D45" t="s">
        <v>26</v>
      </c>
      <c r="E45" t="s">
        <v>21</v>
      </c>
      <c r="F45" t="s">
        <v>28</v>
      </c>
      <c r="G45" t="s">
        <v>40</v>
      </c>
      <c r="H45">
        <v>36.729999999999997</v>
      </c>
      <c r="I45">
        <v>5</v>
      </c>
      <c r="J45" s="1">
        <v>45738</v>
      </c>
      <c r="K45">
        <v>3</v>
      </c>
      <c r="L45" t="s">
        <v>30</v>
      </c>
      <c r="M45">
        <f t="shared" si="2"/>
        <v>183.64999999999998</v>
      </c>
      <c r="N45" t="str">
        <f t="shared" si="3"/>
        <v>Mar</v>
      </c>
    </row>
    <row r="46" spans="1:14" x14ac:dyDescent="0.3">
      <c r="A46" t="s">
        <v>95</v>
      </c>
      <c r="B46">
        <v>40</v>
      </c>
      <c r="C46" t="s">
        <v>25</v>
      </c>
      <c r="D46" t="s">
        <v>14</v>
      </c>
      <c r="E46" t="s">
        <v>27</v>
      </c>
      <c r="F46" t="s">
        <v>55</v>
      </c>
      <c r="G46" t="s">
        <v>29</v>
      </c>
      <c r="H46">
        <v>29.85</v>
      </c>
      <c r="I46">
        <v>3</v>
      </c>
      <c r="J46" s="1">
        <v>45886</v>
      </c>
      <c r="K46">
        <v>5</v>
      </c>
      <c r="L46" t="s">
        <v>18</v>
      </c>
      <c r="M46">
        <f t="shared" si="2"/>
        <v>89.550000000000011</v>
      </c>
      <c r="N46" t="str">
        <f t="shared" si="3"/>
        <v>Aug</v>
      </c>
    </row>
    <row r="47" spans="1:14" x14ac:dyDescent="0.3">
      <c r="A47" t="s">
        <v>96</v>
      </c>
      <c r="B47">
        <v>41</v>
      </c>
      <c r="C47" t="s">
        <v>13</v>
      </c>
      <c r="D47" t="s">
        <v>20</v>
      </c>
      <c r="E47" t="s">
        <v>21</v>
      </c>
      <c r="F47" t="s">
        <v>22</v>
      </c>
      <c r="G47" t="s">
        <v>37</v>
      </c>
      <c r="H47">
        <v>11.63</v>
      </c>
      <c r="I47">
        <v>2</v>
      </c>
      <c r="J47" s="1">
        <v>45824</v>
      </c>
      <c r="K47">
        <v>4</v>
      </c>
      <c r="L47" t="s">
        <v>34</v>
      </c>
      <c r="M47">
        <f t="shared" si="2"/>
        <v>23.26</v>
      </c>
      <c r="N47" t="str">
        <f t="shared" si="3"/>
        <v>Jun</v>
      </c>
    </row>
    <row r="48" spans="1:14" x14ac:dyDescent="0.3">
      <c r="A48" t="s">
        <v>97</v>
      </c>
      <c r="B48">
        <v>23</v>
      </c>
      <c r="C48" t="s">
        <v>13</v>
      </c>
      <c r="D48" t="s">
        <v>42</v>
      </c>
      <c r="E48" t="s">
        <v>27</v>
      </c>
      <c r="F48" t="s">
        <v>65</v>
      </c>
      <c r="G48" t="s">
        <v>50</v>
      </c>
      <c r="H48">
        <v>33.450000000000003</v>
      </c>
      <c r="I48">
        <v>3</v>
      </c>
      <c r="J48" s="1">
        <v>45916</v>
      </c>
      <c r="K48">
        <v>3</v>
      </c>
      <c r="L48" t="s">
        <v>30</v>
      </c>
      <c r="M48">
        <f t="shared" si="2"/>
        <v>100.35000000000001</v>
      </c>
      <c r="N48" t="str">
        <f t="shared" si="3"/>
        <v>Sep</v>
      </c>
    </row>
    <row r="49" spans="1:14" x14ac:dyDescent="0.3">
      <c r="A49" t="s">
        <v>98</v>
      </c>
      <c r="B49">
        <v>45</v>
      </c>
      <c r="C49" t="s">
        <v>13</v>
      </c>
      <c r="D49" t="s">
        <v>14</v>
      </c>
      <c r="E49" t="s">
        <v>15</v>
      </c>
      <c r="F49" t="s">
        <v>55</v>
      </c>
      <c r="G49" t="s">
        <v>17</v>
      </c>
      <c r="H49">
        <v>36.94</v>
      </c>
      <c r="I49">
        <v>2</v>
      </c>
      <c r="J49" s="1">
        <v>45886</v>
      </c>
      <c r="K49">
        <v>3</v>
      </c>
      <c r="L49" t="s">
        <v>18</v>
      </c>
      <c r="M49">
        <f t="shared" si="2"/>
        <v>73.88</v>
      </c>
      <c r="N49" t="str">
        <f t="shared" si="3"/>
        <v>Aug</v>
      </c>
    </row>
    <row r="50" spans="1:14" x14ac:dyDescent="0.3">
      <c r="A50" t="s">
        <v>99</v>
      </c>
      <c r="B50">
        <v>20</v>
      </c>
      <c r="C50" t="s">
        <v>13</v>
      </c>
      <c r="D50" t="s">
        <v>42</v>
      </c>
      <c r="E50" t="s">
        <v>21</v>
      </c>
      <c r="F50" t="s">
        <v>53</v>
      </c>
      <c r="G50" t="s">
        <v>23</v>
      </c>
      <c r="H50">
        <v>32.56</v>
      </c>
      <c r="I50">
        <v>4</v>
      </c>
      <c r="J50" s="1">
        <v>45691</v>
      </c>
      <c r="K50">
        <v>5</v>
      </c>
      <c r="L50" t="s">
        <v>44</v>
      </c>
      <c r="M50">
        <f t="shared" si="2"/>
        <v>130.24</v>
      </c>
      <c r="N50" t="str">
        <f t="shared" si="3"/>
        <v>Feb</v>
      </c>
    </row>
    <row r="51" spans="1:14" x14ac:dyDescent="0.3">
      <c r="A51" t="s">
        <v>100</v>
      </c>
      <c r="B51">
        <v>33</v>
      </c>
      <c r="C51" t="s">
        <v>13</v>
      </c>
      <c r="D51" t="s">
        <v>14</v>
      </c>
      <c r="E51" t="s">
        <v>15</v>
      </c>
      <c r="F51" t="s">
        <v>55</v>
      </c>
      <c r="G51" t="s">
        <v>40</v>
      </c>
      <c r="H51">
        <v>35.479999999999997</v>
      </c>
      <c r="I51">
        <v>4</v>
      </c>
      <c r="J51" s="1">
        <v>45782</v>
      </c>
      <c r="K51">
        <v>3</v>
      </c>
      <c r="L51" t="s">
        <v>30</v>
      </c>
      <c r="M51">
        <f t="shared" si="2"/>
        <v>141.91999999999999</v>
      </c>
      <c r="N51" t="str">
        <f t="shared" si="3"/>
        <v>May</v>
      </c>
    </row>
    <row r="52" spans="1:14" x14ac:dyDescent="0.3">
      <c r="A52" t="s">
        <v>101</v>
      </c>
      <c r="B52">
        <v>44</v>
      </c>
      <c r="C52" t="s">
        <v>25</v>
      </c>
      <c r="D52" t="s">
        <v>46</v>
      </c>
      <c r="E52" t="s">
        <v>27</v>
      </c>
      <c r="F52" t="s">
        <v>68</v>
      </c>
      <c r="G52" t="s">
        <v>23</v>
      </c>
      <c r="H52">
        <v>30.85</v>
      </c>
      <c r="I52">
        <v>5</v>
      </c>
      <c r="J52" s="1">
        <v>45810</v>
      </c>
      <c r="K52">
        <v>3</v>
      </c>
      <c r="L52" t="s">
        <v>44</v>
      </c>
      <c r="M52">
        <f t="shared" si="2"/>
        <v>154.25</v>
      </c>
      <c r="N52" t="str">
        <f t="shared" si="3"/>
        <v>Jun</v>
      </c>
    </row>
    <row r="53" spans="1:14" x14ac:dyDescent="0.3">
      <c r="A53" t="s">
        <v>102</v>
      </c>
      <c r="B53">
        <v>44</v>
      </c>
      <c r="C53" t="s">
        <v>13</v>
      </c>
      <c r="D53" t="s">
        <v>20</v>
      </c>
      <c r="E53" t="s">
        <v>21</v>
      </c>
      <c r="F53" t="s">
        <v>22</v>
      </c>
      <c r="G53" t="s">
        <v>50</v>
      </c>
      <c r="H53">
        <v>37.65</v>
      </c>
      <c r="I53">
        <v>3</v>
      </c>
      <c r="J53" s="1">
        <v>45722</v>
      </c>
      <c r="K53">
        <v>5</v>
      </c>
      <c r="L53" t="s">
        <v>18</v>
      </c>
      <c r="M53">
        <f t="shared" si="2"/>
        <v>112.94999999999999</v>
      </c>
      <c r="N53" t="str">
        <f t="shared" si="3"/>
        <v>Mar</v>
      </c>
    </row>
    <row r="54" spans="1:14" x14ac:dyDescent="0.3">
      <c r="A54" t="s">
        <v>103</v>
      </c>
      <c r="B54">
        <v>43</v>
      </c>
      <c r="C54" t="s">
        <v>25</v>
      </c>
      <c r="D54" t="s">
        <v>26</v>
      </c>
      <c r="E54" t="s">
        <v>15</v>
      </c>
      <c r="F54" t="s">
        <v>32</v>
      </c>
      <c r="G54" t="s">
        <v>29</v>
      </c>
      <c r="H54">
        <v>17.059999999999999</v>
      </c>
      <c r="I54">
        <v>5</v>
      </c>
      <c r="J54" s="1">
        <v>45789</v>
      </c>
      <c r="K54">
        <v>3</v>
      </c>
      <c r="L54" t="s">
        <v>48</v>
      </c>
      <c r="M54">
        <f t="shared" si="2"/>
        <v>85.3</v>
      </c>
      <c r="N54" t="str">
        <f t="shared" si="3"/>
        <v>May</v>
      </c>
    </row>
    <row r="55" spans="1:14" x14ac:dyDescent="0.3">
      <c r="A55" t="s">
        <v>104</v>
      </c>
      <c r="B55">
        <v>26</v>
      </c>
      <c r="C55" t="s">
        <v>13</v>
      </c>
      <c r="D55" t="s">
        <v>14</v>
      </c>
      <c r="E55" t="s">
        <v>15</v>
      </c>
      <c r="F55" t="s">
        <v>55</v>
      </c>
      <c r="G55" t="s">
        <v>17</v>
      </c>
      <c r="H55">
        <v>17.86</v>
      </c>
      <c r="I55">
        <v>3</v>
      </c>
      <c r="J55" s="1">
        <v>45924</v>
      </c>
      <c r="K55">
        <v>4</v>
      </c>
      <c r="L55" t="s">
        <v>44</v>
      </c>
      <c r="M55">
        <f t="shared" si="2"/>
        <v>53.58</v>
      </c>
      <c r="N55" t="str">
        <f t="shared" si="3"/>
        <v>Sep</v>
      </c>
    </row>
    <row r="56" spans="1:14" x14ac:dyDescent="0.3">
      <c r="A56" t="s">
        <v>105</v>
      </c>
      <c r="B56">
        <v>24</v>
      </c>
      <c r="C56" t="s">
        <v>25</v>
      </c>
      <c r="D56" t="s">
        <v>14</v>
      </c>
      <c r="E56" t="s">
        <v>15</v>
      </c>
      <c r="F56" t="s">
        <v>55</v>
      </c>
      <c r="G56" t="s">
        <v>40</v>
      </c>
      <c r="H56">
        <v>37.86</v>
      </c>
      <c r="I56">
        <v>2</v>
      </c>
      <c r="J56" s="1">
        <v>45969</v>
      </c>
      <c r="K56">
        <v>5</v>
      </c>
      <c r="L56" t="s">
        <v>73</v>
      </c>
      <c r="M56">
        <f t="shared" si="2"/>
        <v>75.72</v>
      </c>
      <c r="N56" t="str">
        <f t="shared" si="3"/>
        <v>Nov</v>
      </c>
    </row>
    <row r="57" spans="1:14" x14ac:dyDescent="0.3">
      <c r="A57" t="s">
        <v>106</v>
      </c>
      <c r="B57">
        <v>44</v>
      </c>
      <c r="C57" t="s">
        <v>13</v>
      </c>
      <c r="D57" t="s">
        <v>20</v>
      </c>
      <c r="E57" t="s">
        <v>15</v>
      </c>
      <c r="F57" t="s">
        <v>22</v>
      </c>
      <c r="G57" t="s">
        <v>37</v>
      </c>
      <c r="H57">
        <v>17.68</v>
      </c>
      <c r="I57">
        <v>5</v>
      </c>
      <c r="J57" s="1">
        <v>45665</v>
      </c>
      <c r="K57">
        <v>4</v>
      </c>
      <c r="L57" t="s">
        <v>34</v>
      </c>
      <c r="M57">
        <f t="shared" si="2"/>
        <v>88.4</v>
      </c>
      <c r="N57" t="str">
        <f t="shared" si="3"/>
        <v>Jan</v>
      </c>
    </row>
    <row r="58" spans="1:14" x14ac:dyDescent="0.3">
      <c r="A58" t="s">
        <v>107</v>
      </c>
      <c r="B58">
        <v>23</v>
      </c>
      <c r="C58" t="s">
        <v>13</v>
      </c>
      <c r="D58" t="s">
        <v>14</v>
      </c>
      <c r="E58" t="s">
        <v>27</v>
      </c>
      <c r="F58" t="s">
        <v>55</v>
      </c>
      <c r="G58" t="s">
        <v>17</v>
      </c>
      <c r="H58">
        <v>22.83</v>
      </c>
      <c r="I58">
        <v>3</v>
      </c>
      <c r="J58" s="1">
        <v>45705</v>
      </c>
      <c r="K58">
        <v>5</v>
      </c>
      <c r="L58" t="s">
        <v>18</v>
      </c>
      <c r="M58">
        <f t="shared" si="2"/>
        <v>68.489999999999995</v>
      </c>
      <c r="N58" t="str">
        <f t="shared" si="3"/>
        <v>Feb</v>
      </c>
    </row>
    <row r="59" spans="1:14" x14ac:dyDescent="0.3">
      <c r="A59" t="s">
        <v>108</v>
      </c>
      <c r="B59">
        <v>38</v>
      </c>
      <c r="C59" t="s">
        <v>25</v>
      </c>
      <c r="D59" t="s">
        <v>14</v>
      </c>
      <c r="E59" t="s">
        <v>27</v>
      </c>
      <c r="F59" t="s">
        <v>16</v>
      </c>
      <c r="G59" t="s">
        <v>37</v>
      </c>
      <c r="H59">
        <v>13.06</v>
      </c>
      <c r="I59">
        <v>1</v>
      </c>
      <c r="J59" s="1">
        <v>45749</v>
      </c>
      <c r="K59">
        <v>4</v>
      </c>
      <c r="L59" t="s">
        <v>48</v>
      </c>
      <c r="M59">
        <f t="shared" si="2"/>
        <v>13.06</v>
      </c>
      <c r="N59" t="str">
        <f t="shared" si="3"/>
        <v>Apr</v>
      </c>
    </row>
    <row r="60" spans="1:14" x14ac:dyDescent="0.3">
      <c r="A60" t="s">
        <v>109</v>
      </c>
      <c r="B60">
        <v>43</v>
      </c>
      <c r="C60" t="s">
        <v>13</v>
      </c>
      <c r="D60" t="s">
        <v>20</v>
      </c>
      <c r="E60" t="s">
        <v>21</v>
      </c>
      <c r="F60" t="s">
        <v>22</v>
      </c>
      <c r="G60" t="s">
        <v>50</v>
      </c>
      <c r="H60">
        <v>8.1999999999999993</v>
      </c>
      <c r="I60">
        <v>3</v>
      </c>
      <c r="J60" s="1">
        <v>45688</v>
      </c>
      <c r="K60">
        <v>4</v>
      </c>
      <c r="L60" t="s">
        <v>30</v>
      </c>
      <c r="M60">
        <f t="shared" si="2"/>
        <v>24.599999999999998</v>
      </c>
      <c r="N60" t="str">
        <f t="shared" si="3"/>
        <v>Jan</v>
      </c>
    </row>
    <row r="61" spans="1:14" x14ac:dyDescent="0.3">
      <c r="A61" t="s">
        <v>110</v>
      </c>
      <c r="B61">
        <v>21</v>
      </c>
      <c r="C61" t="s">
        <v>13</v>
      </c>
      <c r="D61" t="s">
        <v>42</v>
      </c>
      <c r="E61" t="s">
        <v>15</v>
      </c>
      <c r="F61" t="s">
        <v>53</v>
      </c>
      <c r="G61" t="s">
        <v>17</v>
      </c>
      <c r="H61">
        <v>7</v>
      </c>
      <c r="I61">
        <v>4</v>
      </c>
      <c r="J61" s="1">
        <v>45782</v>
      </c>
      <c r="K61">
        <v>3</v>
      </c>
      <c r="L61" t="s">
        <v>73</v>
      </c>
      <c r="M61">
        <f t="shared" si="2"/>
        <v>28</v>
      </c>
      <c r="N61" t="str">
        <f t="shared" si="3"/>
        <v>May</v>
      </c>
    </row>
    <row r="62" spans="1:14" x14ac:dyDescent="0.3">
      <c r="A62" t="s">
        <v>111</v>
      </c>
      <c r="B62">
        <v>39</v>
      </c>
      <c r="C62" t="s">
        <v>13</v>
      </c>
      <c r="D62" t="s">
        <v>20</v>
      </c>
      <c r="E62" t="s">
        <v>15</v>
      </c>
      <c r="F62" t="s">
        <v>22</v>
      </c>
      <c r="G62" t="s">
        <v>33</v>
      </c>
      <c r="H62">
        <v>19</v>
      </c>
      <c r="I62">
        <v>2</v>
      </c>
      <c r="J62" s="1">
        <v>45758</v>
      </c>
      <c r="K62">
        <v>3</v>
      </c>
      <c r="L62" t="s">
        <v>48</v>
      </c>
      <c r="M62">
        <f t="shared" si="2"/>
        <v>38</v>
      </c>
      <c r="N62" t="str">
        <f t="shared" si="3"/>
        <v>Apr</v>
      </c>
    </row>
    <row r="63" spans="1:14" x14ac:dyDescent="0.3">
      <c r="A63" t="s">
        <v>112</v>
      </c>
      <c r="B63">
        <v>45</v>
      </c>
      <c r="C63" t="s">
        <v>13</v>
      </c>
      <c r="D63" t="s">
        <v>42</v>
      </c>
      <c r="E63" t="s">
        <v>15</v>
      </c>
      <c r="F63" t="s">
        <v>43</v>
      </c>
      <c r="G63" t="s">
        <v>33</v>
      </c>
      <c r="H63">
        <v>30.16</v>
      </c>
      <c r="I63">
        <v>2</v>
      </c>
      <c r="J63" s="1">
        <v>45871</v>
      </c>
      <c r="K63">
        <v>4</v>
      </c>
      <c r="L63" t="s">
        <v>48</v>
      </c>
      <c r="M63">
        <f t="shared" si="2"/>
        <v>60.32</v>
      </c>
      <c r="N63" t="str">
        <f t="shared" si="3"/>
        <v>Aug</v>
      </c>
    </row>
    <row r="64" spans="1:14" x14ac:dyDescent="0.3">
      <c r="A64" t="s">
        <v>113</v>
      </c>
      <c r="B64">
        <v>19</v>
      </c>
      <c r="C64" t="s">
        <v>25</v>
      </c>
      <c r="D64" t="s">
        <v>26</v>
      </c>
      <c r="E64" t="s">
        <v>21</v>
      </c>
      <c r="F64" t="s">
        <v>28</v>
      </c>
      <c r="G64" t="s">
        <v>40</v>
      </c>
      <c r="H64">
        <v>32.42</v>
      </c>
      <c r="I64">
        <v>1</v>
      </c>
      <c r="J64" s="1">
        <v>45857</v>
      </c>
      <c r="K64">
        <v>3</v>
      </c>
      <c r="L64" t="s">
        <v>30</v>
      </c>
      <c r="M64">
        <f t="shared" si="2"/>
        <v>32.42</v>
      </c>
      <c r="N64" t="str">
        <f t="shared" si="3"/>
        <v>Jul</v>
      </c>
    </row>
    <row r="65" spans="1:14" x14ac:dyDescent="0.3">
      <c r="A65" t="s">
        <v>114</v>
      </c>
      <c r="B65">
        <v>18</v>
      </c>
      <c r="C65" t="s">
        <v>13</v>
      </c>
      <c r="D65" t="s">
        <v>26</v>
      </c>
      <c r="E65" t="s">
        <v>21</v>
      </c>
      <c r="F65" t="s">
        <v>36</v>
      </c>
      <c r="G65" t="s">
        <v>40</v>
      </c>
      <c r="H65">
        <v>6.59</v>
      </c>
      <c r="I65">
        <v>5</v>
      </c>
      <c r="J65" s="1">
        <v>45753</v>
      </c>
      <c r="K65">
        <v>3</v>
      </c>
      <c r="L65" t="s">
        <v>34</v>
      </c>
      <c r="M65">
        <f t="shared" si="2"/>
        <v>32.950000000000003</v>
      </c>
      <c r="N65" t="str">
        <f t="shared" si="3"/>
        <v>Apr</v>
      </c>
    </row>
    <row r="66" spans="1:14" x14ac:dyDescent="0.3">
      <c r="A66" t="s">
        <v>115</v>
      </c>
      <c r="B66">
        <v>23</v>
      </c>
      <c r="C66" t="s">
        <v>25</v>
      </c>
      <c r="D66" t="s">
        <v>46</v>
      </c>
      <c r="E66" t="s">
        <v>15</v>
      </c>
      <c r="F66" t="s">
        <v>47</v>
      </c>
      <c r="G66" t="s">
        <v>17</v>
      </c>
      <c r="H66">
        <v>21.7</v>
      </c>
      <c r="I66">
        <v>4</v>
      </c>
      <c r="J66" s="1">
        <v>45807</v>
      </c>
      <c r="K66">
        <v>4</v>
      </c>
      <c r="L66" t="s">
        <v>34</v>
      </c>
      <c r="M66">
        <f t="shared" ref="M66:M97" si="4">H66*I66</f>
        <v>86.8</v>
      </c>
      <c r="N66" t="str">
        <f t="shared" ref="N66:N97" si="5">TEXT(J66,"mmm")</f>
        <v>May</v>
      </c>
    </row>
    <row r="67" spans="1:14" x14ac:dyDescent="0.3">
      <c r="A67" t="s">
        <v>116</v>
      </c>
      <c r="B67">
        <v>25</v>
      </c>
      <c r="C67" t="s">
        <v>13</v>
      </c>
      <c r="D67" t="s">
        <v>26</v>
      </c>
      <c r="E67" t="s">
        <v>27</v>
      </c>
      <c r="F67" t="s">
        <v>32</v>
      </c>
      <c r="G67" t="s">
        <v>50</v>
      </c>
      <c r="H67">
        <v>33.979999999999997</v>
      </c>
      <c r="I67">
        <v>4</v>
      </c>
      <c r="J67" s="1">
        <v>45835</v>
      </c>
      <c r="K67">
        <v>5</v>
      </c>
      <c r="L67" t="s">
        <v>30</v>
      </c>
      <c r="M67">
        <f t="shared" si="4"/>
        <v>135.91999999999999</v>
      </c>
      <c r="N67" t="str">
        <f t="shared" si="5"/>
        <v>Jun</v>
      </c>
    </row>
    <row r="68" spans="1:14" x14ac:dyDescent="0.3">
      <c r="A68" t="s">
        <v>117</v>
      </c>
      <c r="B68">
        <v>21</v>
      </c>
      <c r="C68" t="s">
        <v>25</v>
      </c>
      <c r="D68" t="s">
        <v>42</v>
      </c>
      <c r="E68" t="s">
        <v>21</v>
      </c>
      <c r="F68" t="s">
        <v>53</v>
      </c>
      <c r="G68" t="s">
        <v>17</v>
      </c>
      <c r="H68">
        <v>11.7</v>
      </c>
      <c r="I68">
        <v>4</v>
      </c>
      <c r="J68" s="1">
        <v>45968</v>
      </c>
      <c r="K68">
        <v>5</v>
      </c>
      <c r="L68" t="s">
        <v>44</v>
      </c>
      <c r="M68">
        <f t="shared" si="4"/>
        <v>46.8</v>
      </c>
      <c r="N68" t="str">
        <f t="shared" si="5"/>
        <v>Nov</v>
      </c>
    </row>
    <row r="69" spans="1:14" x14ac:dyDescent="0.3">
      <c r="A69" t="s">
        <v>118</v>
      </c>
      <c r="B69">
        <v>41</v>
      </c>
      <c r="C69" t="s">
        <v>25</v>
      </c>
      <c r="D69" t="s">
        <v>14</v>
      </c>
      <c r="E69" t="s">
        <v>15</v>
      </c>
      <c r="F69" t="s">
        <v>55</v>
      </c>
      <c r="G69" t="s">
        <v>50</v>
      </c>
      <c r="H69">
        <v>22.22</v>
      </c>
      <c r="I69">
        <v>2</v>
      </c>
      <c r="J69" s="1">
        <v>45852</v>
      </c>
      <c r="K69">
        <v>3</v>
      </c>
      <c r="L69" t="s">
        <v>44</v>
      </c>
      <c r="M69">
        <f t="shared" si="4"/>
        <v>44.44</v>
      </c>
      <c r="N69" t="str">
        <f t="shared" si="5"/>
        <v>Jul</v>
      </c>
    </row>
    <row r="70" spans="1:14" x14ac:dyDescent="0.3">
      <c r="A70" t="s">
        <v>119</v>
      </c>
      <c r="B70">
        <v>22</v>
      </c>
      <c r="C70" t="s">
        <v>25</v>
      </c>
      <c r="D70" t="s">
        <v>26</v>
      </c>
      <c r="E70" t="s">
        <v>27</v>
      </c>
      <c r="F70" t="s">
        <v>36</v>
      </c>
      <c r="G70" t="s">
        <v>33</v>
      </c>
      <c r="H70">
        <v>34.47</v>
      </c>
      <c r="I70">
        <v>5</v>
      </c>
      <c r="J70" s="1">
        <v>45972</v>
      </c>
      <c r="K70">
        <v>5</v>
      </c>
      <c r="L70" t="s">
        <v>18</v>
      </c>
      <c r="M70">
        <f t="shared" si="4"/>
        <v>172.35</v>
      </c>
      <c r="N70" t="str">
        <f t="shared" si="5"/>
        <v>Nov</v>
      </c>
    </row>
    <row r="71" spans="1:14" x14ac:dyDescent="0.3">
      <c r="A71" t="s">
        <v>120</v>
      </c>
      <c r="B71">
        <v>34</v>
      </c>
      <c r="C71" t="s">
        <v>13</v>
      </c>
      <c r="D71" t="s">
        <v>14</v>
      </c>
      <c r="E71" t="s">
        <v>15</v>
      </c>
      <c r="F71" t="s">
        <v>16</v>
      </c>
      <c r="G71" t="s">
        <v>50</v>
      </c>
      <c r="H71">
        <v>23.21</v>
      </c>
      <c r="I71">
        <v>5</v>
      </c>
      <c r="J71" s="1">
        <v>45777</v>
      </c>
      <c r="K71">
        <v>4</v>
      </c>
      <c r="L71" t="s">
        <v>44</v>
      </c>
      <c r="M71">
        <f t="shared" si="4"/>
        <v>116.05000000000001</v>
      </c>
      <c r="N71" t="str">
        <f t="shared" si="5"/>
        <v>Apr</v>
      </c>
    </row>
    <row r="72" spans="1:14" x14ac:dyDescent="0.3">
      <c r="A72" t="s">
        <v>121</v>
      </c>
      <c r="B72">
        <v>34</v>
      </c>
      <c r="C72" t="s">
        <v>25</v>
      </c>
      <c r="D72" t="s">
        <v>14</v>
      </c>
      <c r="E72" t="s">
        <v>15</v>
      </c>
      <c r="F72" t="s">
        <v>55</v>
      </c>
      <c r="G72" t="s">
        <v>29</v>
      </c>
      <c r="H72">
        <v>8.73</v>
      </c>
      <c r="I72">
        <v>2</v>
      </c>
      <c r="J72" s="1">
        <v>45690</v>
      </c>
      <c r="K72">
        <v>3</v>
      </c>
      <c r="L72" t="s">
        <v>30</v>
      </c>
      <c r="M72">
        <f t="shared" si="4"/>
        <v>17.46</v>
      </c>
      <c r="N72" t="str">
        <f t="shared" si="5"/>
        <v>Feb</v>
      </c>
    </row>
    <row r="73" spans="1:14" x14ac:dyDescent="0.3">
      <c r="A73" t="s">
        <v>122</v>
      </c>
      <c r="B73">
        <v>25</v>
      </c>
      <c r="C73" t="s">
        <v>25</v>
      </c>
      <c r="D73" t="s">
        <v>46</v>
      </c>
      <c r="E73" t="s">
        <v>27</v>
      </c>
      <c r="F73" t="s">
        <v>68</v>
      </c>
      <c r="G73" t="s">
        <v>23</v>
      </c>
      <c r="H73">
        <v>23.49</v>
      </c>
      <c r="I73">
        <v>1</v>
      </c>
      <c r="J73" s="1">
        <v>45818</v>
      </c>
      <c r="K73">
        <v>5</v>
      </c>
      <c r="L73" t="s">
        <v>30</v>
      </c>
      <c r="M73">
        <f t="shared" si="4"/>
        <v>23.49</v>
      </c>
      <c r="N73" t="str">
        <f t="shared" si="5"/>
        <v>Jun</v>
      </c>
    </row>
    <row r="74" spans="1:14" x14ac:dyDescent="0.3">
      <c r="A74" t="s">
        <v>123</v>
      </c>
      <c r="B74">
        <v>40</v>
      </c>
      <c r="C74" t="s">
        <v>13</v>
      </c>
      <c r="D74" t="s">
        <v>46</v>
      </c>
      <c r="E74" t="s">
        <v>21</v>
      </c>
      <c r="F74" t="s">
        <v>68</v>
      </c>
      <c r="G74" t="s">
        <v>17</v>
      </c>
      <c r="H74">
        <v>10.35</v>
      </c>
      <c r="I74">
        <v>5</v>
      </c>
      <c r="J74" s="1">
        <v>45976</v>
      </c>
      <c r="K74">
        <v>4</v>
      </c>
      <c r="L74" t="s">
        <v>48</v>
      </c>
      <c r="M74">
        <f t="shared" si="4"/>
        <v>51.75</v>
      </c>
      <c r="N74" t="str">
        <f t="shared" si="5"/>
        <v>Nov</v>
      </c>
    </row>
    <row r="75" spans="1:14" x14ac:dyDescent="0.3">
      <c r="A75" t="s">
        <v>124</v>
      </c>
      <c r="B75">
        <v>37</v>
      </c>
      <c r="C75" t="s">
        <v>25</v>
      </c>
      <c r="D75" t="s">
        <v>26</v>
      </c>
      <c r="E75" t="s">
        <v>21</v>
      </c>
      <c r="F75" t="s">
        <v>32</v>
      </c>
      <c r="G75" t="s">
        <v>37</v>
      </c>
      <c r="H75">
        <v>19.010000000000002</v>
      </c>
      <c r="I75">
        <v>3</v>
      </c>
      <c r="J75" s="1">
        <v>46018</v>
      </c>
      <c r="K75">
        <v>5</v>
      </c>
      <c r="L75" t="s">
        <v>18</v>
      </c>
      <c r="M75">
        <f t="shared" si="4"/>
        <v>57.03</v>
      </c>
      <c r="N75" t="str">
        <f t="shared" si="5"/>
        <v>Dec</v>
      </c>
    </row>
    <row r="76" spans="1:14" x14ac:dyDescent="0.3">
      <c r="A76" t="s">
        <v>125</v>
      </c>
      <c r="B76">
        <v>40</v>
      </c>
      <c r="C76" t="s">
        <v>13</v>
      </c>
      <c r="D76" t="s">
        <v>42</v>
      </c>
      <c r="E76" t="s">
        <v>21</v>
      </c>
      <c r="F76" t="s">
        <v>65</v>
      </c>
      <c r="G76" t="s">
        <v>33</v>
      </c>
      <c r="H76">
        <v>33.979999999999997</v>
      </c>
      <c r="I76">
        <v>4</v>
      </c>
      <c r="J76" s="1">
        <v>46000</v>
      </c>
      <c r="K76">
        <v>5</v>
      </c>
      <c r="L76" t="s">
        <v>48</v>
      </c>
      <c r="M76">
        <f t="shared" si="4"/>
        <v>135.91999999999999</v>
      </c>
      <c r="N76" t="str">
        <f t="shared" si="5"/>
        <v>Dec</v>
      </c>
    </row>
    <row r="77" spans="1:14" x14ac:dyDescent="0.3">
      <c r="A77" t="s">
        <v>126</v>
      </c>
      <c r="B77">
        <v>41</v>
      </c>
      <c r="C77" t="s">
        <v>25</v>
      </c>
      <c r="D77" t="s">
        <v>26</v>
      </c>
      <c r="E77" t="s">
        <v>27</v>
      </c>
      <c r="F77" t="s">
        <v>32</v>
      </c>
      <c r="G77" t="s">
        <v>23</v>
      </c>
      <c r="H77">
        <v>12.74</v>
      </c>
      <c r="I77">
        <v>3</v>
      </c>
      <c r="J77" s="1">
        <v>45837</v>
      </c>
      <c r="K77">
        <v>5</v>
      </c>
      <c r="L77" t="s">
        <v>59</v>
      </c>
      <c r="M77">
        <f t="shared" si="4"/>
        <v>38.22</v>
      </c>
      <c r="N77" t="str">
        <f t="shared" si="5"/>
        <v>Jun</v>
      </c>
    </row>
    <row r="78" spans="1:14" x14ac:dyDescent="0.3">
      <c r="A78" t="s">
        <v>127</v>
      </c>
      <c r="B78">
        <v>20</v>
      </c>
      <c r="C78" t="s">
        <v>25</v>
      </c>
      <c r="D78" t="s">
        <v>42</v>
      </c>
      <c r="E78" t="s">
        <v>15</v>
      </c>
      <c r="F78" t="s">
        <v>43</v>
      </c>
      <c r="G78" t="s">
        <v>40</v>
      </c>
      <c r="H78">
        <v>20.9</v>
      </c>
      <c r="I78">
        <v>2</v>
      </c>
      <c r="J78" s="1">
        <v>45818</v>
      </c>
      <c r="K78">
        <v>3</v>
      </c>
      <c r="L78" t="s">
        <v>34</v>
      </c>
      <c r="M78">
        <f t="shared" si="4"/>
        <v>41.8</v>
      </c>
      <c r="N78" t="str">
        <f t="shared" si="5"/>
        <v>Jun</v>
      </c>
    </row>
    <row r="79" spans="1:14" x14ac:dyDescent="0.3">
      <c r="A79" t="s">
        <v>128</v>
      </c>
      <c r="B79">
        <v>21</v>
      </c>
      <c r="C79" t="s">
        <v>13</v>
      </c>
      <c r="D79" t="s">
        <v>26</v>
      </c>
      <c r="E79" t="s">
        <v>21</v>
      </c>
      <c r="F79" t="s">
        <v>36</v>
      </c>
      <c r="G79" t="s">
        <v>37</v>
      </c>
      <c r="H79">
        <v>22.53</v>
      </c>
      <c r="I79">
        <v>5</v>
      </c>
      <c r="J79" s="1">
        <v>45837</v>
      </c>
      <c r="K79">
        <v>5</v>
      </c>
      <c r="L79" t="s">
        <v>30</v>
      </c>
      <c r="M79">
        <f t="shared" si="4"/>
        <v>112.65</v>
      </c>
      <c r="N79" t="str">
        <f t="shared" si="5"/>
        <v>Jun</v>
      </c>
    </row>
    <row r="80" spans="1:14" x14ac:dyDescent="0.3">
      <c r="A80" t="s">
        <v>129</v>
      </c>
      <c r="B80">
        <v>27</v>
      </c>
      <c r="C80" t="s">
        <v>13</v>
      </c>
      <c r="D80" t="s">
        <v>46</v>
      </c>
      <c r="E80" t="s">
        <v>21</v>
      </c>
      <c r="F80" t="s">
        <v>68</v>
      </c>
      <c r="G80" t="s">
        <v>40</v>
      </c>
      <c r="H80">
        <v>15.25</v>
      </c>
      <c r="I80">
        <v>4</v>
      </c>
      <c r="J80" s="1">
        <v>45735</v>
      </c>
      <c r="K80">
        <v>5</v>
      </c>
      <c r="L80" t="s">
        <v>18</v>
      </c>
      <c r="M80">
        <f t="shared" si="4"/>
        <v>61</v>
      </c>
      <c r="N80" t="str">
        <f t="shared" si="5"/>
        <v>Mar</v>
      </c>
    </row>
    <row r="81" spans="1:14" x14ac:dyDescent="0.3">
      <c r="A81" t="s">
        <v>130</v>
      </c>
      <c r="B81">
        <v>29</v>
      </c>
      <c r="C81" t="s">
        <v>13</v>
      </c>
      <c r="D81" t="s">
        <v>46</v>
      </c>
      <c r="E81" t="s">
        <v>15</v>
      </c>
      <c r="F81" t="s">
        <v>47</v>
      </c>
      <c r="G81" t="s">
        <v>33</v>
      </c>
      <c r="H81">
        <v>24.83</v>
      </c>
      <c r="I81">
        <v>5</v>
      </c>
      <c r="J81" s="1">
        <v>45867</v>
      </c>
      <c r="K81">
        <v>4</v>
      </c>
      <c r="L81" t="s">
        <v>59</v>
      </c>
      <c r="M81">
        <f t="shared" si="4"/>
        <v>124.14999999999999</v>
      </c>
      <c r="N81" t="str">
        <f t="shared" si="5"/>
        <v>Jul</v>
      </c>
    </row>
    <row r="82" spans="1:14" x14ac:dyDescent="0.3">
      <c r="A82" t="s">
        <v>131</v>
      </c>
      <c r="B82">
        <v>40</v>
      </c>
      <c r="C82" t="s">
        <v>13</v>
      </c>
      <c r="D82" t="s">
        <v>42</v>
      </c>
      <c r="E82" t="s">
        <v>15</v>
      </c>
      <c r="F82" t="s">
        <v>53</v>
      </c>
      <c r="G82" t="s">
        <v>37</v>
      </c>
      <c r="H82">
        <v>37.729999999999997</v>
      </c>
      <c r="I82">
        <v>3</v>
      </c>
      <c r="J82" s="1">
        <v>45787</v>
      </c>
      <c r="K82">
        <v>3</v>
      </c>
      <c r="L82" t="s">
        <v>59</v>
      </c>
      <c r="M82">
        <f t="shared" si="4"/>
        <v>113.19</v>
      </c>
      <c r="N82" t="str">
        <f t="shared" si="5"/>
        <v>May</v>
      </c>
    </row>
    <row r="83" spans="1:14" x14ac:dyDescent="0.3">
      <c r="A83" t="s">
        <v>132</v>
      </c>
      <c r="B83">
        <v>21</v>
      </c>
      <c r="C83" t="s">
        <v>13</v>
      </c>
      <c r="D83" t="s">
        <v>20</v>
      </c>
      <c r="E83" t="s">
        <v>27</v>
      </c>
      <c r="F83" t="s">
        <v>58</v>
      </c>
      <c r="G83" t="s">
        <v>33</v>
      </c>
      <c r="H83">
        <v>12.78</v>
      </c>
      <c r="I83">
        <v>4</v>
      </c>
      <c r="J83" s="1">
        <v>45808</v>
      </c>
      <c r="K83">
        <v>3</v>
      </c>
      <c r="L83" t="s">
        <v>18</v>
      </c>
      <c r="M83">
        <f t="shared" si="4"/>
        <v>51.12</v>
      </c>
      <c r="N83" t="str">
        <f t="shared" si="5"/>
        <v>May</v>
      </c>
    </row>
    <row r="84" spans="1:14" x14ac:dyDescent="0.3">
      <c r="A84" t="s">
        <v>133</v>
      </c>
      <c r="B84">
        <v>43</v>
      </c>
      <c r="C84" t="s">
        <v>13</v>
      </c>
      <c r="D84" t="s">
        <v>14</v>
      </c>
      <c r="E84" t="s">
        <v>15</v>
      </c>
      <c r="F84" t="s">
        <v>39</v>
      </c>
      <c r="G84" t="s">
        <v>23</v>
      </c>
      <c r="H84">
        <v>15.8</v>
      </c>
      <c r="I84">
        <v>1</v>
      </c>
      <c r="J84" s="1">
        <v>45966</v>
      </c>
      <c r="K84">
        <v>4</v>
      </c>
      <c r="L84" t="s">
        <v>34</v>
      </c>
      <c r="M84">
        <f t="shared" si="4"/>
        <v>15.8</v>
      </c>
      <c r="N84" t="str">
        <f t="shared" si="5"/>
        <v>Nov</v>
      </c>
    </row>
    <row r="85" spans="1:14" x14ac:dyDescent="0.3">
      <c r="A85" t="s">
        <v>134</v>
      </c>
      <c r="B85">
        <v>33</v>
      </c>
      <c r="C85" t="s">
        <v>13</v>
      </c>
      <c r="D85" t="s">
        <v>20</v>
      </c>
      <c r="E85" t="s">
        <v>27</v>
      </c>
      <c r="F85" t="s">
        <v>63</v>
      </c>
      <c r="G85" t="s">
        <v>23</v>
      </c>
      <c r="H85">
        <v>36.08</v>
      </c>
      <c r="I85">
        <v>5</v>
      </c>
      <c r="J85" s="1">
        <v>45936</v>
      </c>
      <c r="K85">
        <v>3</v>
      </c>
      <c r="L85" t="s">
        <v>73</v>
      </c>
      <c r="M85">
        <f t="shared" si="4"/>
        <v>180.39999999999998</v>
      </c>
      <c r="N85" t="str">
        <f t="shared" si="5"/>
        <v>Oct</v>
      </c>
    </row>
    <row r="86" spans="1:14" x14ac:dyDescent="0.3">
      <c r="A86" t="s">
        <v>135</v>
      </c>
      <c r="B86">
        <v>25</v>
      </c>
      <c r="C86" t="s">
        <v>25</v>
      </c>
      <c r="D86" t="s">
        <v>20</v>
      </c>
      <c r="E86" t="s">
        <v>27</v>
      </c>
      <c r="F86" t="s">
        <v>58</v>
      </c>
      <c r="G86" t="s">
        <v>40</v>
      </c>
      <c r="H86">
        <v>7.11</v>
      </c>
      <c r="I86">
        <v>2</v>
      </c>
      <c r="J86" s="1">
        <v>45857</v>
      </c>
      <c r="K86">
        <v>4</v>
      </c>
      <c r="L86" t="s">
        <v>59</v>
      </c>
      <c r="M86">
        <f t="shared" si="4"/>
        <v>14.22</v>
      </c>
      <c r="N86" t="str">
        <f t="shared" si="5"/>
        <v>Jul</v>
      </c>
    </row>
    <row r="87" spans="1:14" x14ac:dyDescent="0.3">
      <c r="A87" t="s">
        <v>136</v>
      </c>
      <c r="B87">
        <v>20</v>
      </c>
      <c r="C87" t="s">
        <v>13</v>
      </c>
      <c r="D87" t="s">
        <v>42</v>
      </c>
      <c r="E87" t="s">
        <v>27</v>
      </c>
      <c r="F87" t="s">
        <v>65</v>
      </c>
      <c r="G87" t="s">
        <v>23</v>
      </c>
      <c r="H87">
        <v>33.130000000000003</v>
      </c>
      <c r="I87">
        <v>2</v>
      </c>
      <c r="J87" s="1">
        <v>45942</v>
      </c>
      <c r="K87">
        <v>5</v>
      </c>
      <c r="L87" t="s">
        <v>34</v>
      </c>
      <c r="M87">
        <f t="shared" si="4"/>
        <v>66.260000000000005</v>
      </c>
      <c r="N87" t="str">
        <f t="shared" si="5"/>
        <v>Oct</v>
      </c>
    </row>
    <row r="88" spans="1:14" x14ac:dyDescent="0.3">
      <c r="A88" t="s">
        <v>137</v>
      </c>
      <c r="B88">
        <v>28</v>
      </c>
      <c r="C88" t="s">
        <v>13</v>
      </c>
      <c r="D88" t="s">
        <v>20</v>
      </c>
      <c r="E88" t="s">
        <v>15</v>
      </c>
      <c r="F88" t="s">
        <v>58</v>
      </c>
      <c r="G88" t="s">
        <v>40</v>
      </c>
      <c r="H88">
        <v>5.0999999999999996</v>
      </c>
      <c r="I88">
        <v>5</v>
      </c>
      <c r="J88" s="1">
        <v>45662</v>
      </c>
      <c r="K88">
        <v>5</v>
      </c>
      <c r="L88" t="s">
        <v>59</v>
      </c>
      <c r="M88">
        <f t="shared" si="4"/>
        <v>25.5</v>
      </c>
      <c r="N88" t="str">
        <f t="shared" si="5"/>
        <v>Jan</v>
      </c>
    </row>
    <row r="89" spans="1:14" x14ac:dyDescent="0.3">
      <c r="A89" t="s">
        <v>138</v>
      </c>
      <c r="B89">
        <v>25</v>
      </c>
      <c r="C89" t="s">
        <v>25</v>
      </c>
      <c r="D89" t="s">
        <v>20</v>
      </c>
      <c r="E89" t="s">
        <v>15</v>
      </c>
      <c r="F89" t="s">
        <v>22</v>
      </c>
      <c r="G89" t="s">
        <v>23</v>
      </c>
      <c r="H89">
        <v>16.350000000000001</v>
      </c>
      <c r="I89">
        <v>3</v>
      </c>
      <c r="J89" s="1">
        <v>45799</v>
      </c>
      <c r="K89">
        <v>5</v>
      </c>
      <c r="L89" t="s">
        <v>59</v>
      </c>
      <c r="M89">
        <f t="shared" si="4"/>
        <v>49.050000000000004</v>
      </c>
      <c r="N89" t="str">
        <f t="shared" si="5"/>
        <v>May</v>
      </c>
    </row>
    <row r="90" spans="1:14" x14ac:dyDescent="0.3">
      <c r="A90" t="s">
        <v>139</v>
      </c>
      <c r="B90">
        <v>40</v>
      </c>
      <c r="C90" t="s">
        <v>25</v>
      </c>
      <c r="D90" t="s">
        <v>26</v>
      </c>
      <c r="E90" t="s">
        <v>15</v>
      </c>
      <c r="F90" t="s">
        <v>36</v>
      </c>
      <c r="G90" t="s">
        <v>29</v>
      </c>
      <c r="H90">
        <v>8.2899999999999991</v>
      </c>
      <c r="I90">
        <v>5</v>
      </c>
      <c r="J90" s="1">
        <v>45763</v>
      </c>
      <c r="K90">
        <v>4</v>
      </c>
      <c r="L90" t="s">
        <v>18</v>
      </c>
      <c r="M90">
        <f t="shared" si="4"/>
        <v>41.449999999999996</v>
      </c>
      <c r="N90" t="str">
        <f t="shared" si="5"/>
        <v>Apr</v>
      </c>
    </row>
    <row r="91" spans="1:14" x14ac:dyDescent="0.3">
      <c r="A91" t="s">
        <v>140</v>
      </c>
      <c r="B91">
        <v>39</v>
      </c>
      <c r="C91" t="s">
        <v>13</v>
      </c>
      <c r="D91" t="s">
        <v>20</v>
      </c>
      <c r="E91" t="s">
        <v>15</v>
      </c>
      <c r="F91" t="s">
        <v>63</v>
      </c>
      <c r="G91" t="s">
        <v>17</v>
      </c>
      <c r="H91">
        <v>12.17</v>
      </c>
      <c r="I91">
        <v>2</v>
      </c>
      <c r="J91" s="1">
        <v>45850</v>
      </c>
      <c r="K91">
        <v>3</v>
      </c>
      <c r="L91" t="s">
        <v>73</v>
      </c>
      <c r="M91">
        <f t="shared" si="4"/>
        <v>24.34</v>
      </c>
      <c r="N91" t="str">
        <f t="shared" si="5"/>
        <v>Jul</v>
      </c>
    </row>
    <row r="92" spans="1:14" x14ac:dyDescent="0.3">
      <c r="A92" t="s">
        <v>141</v>
      </c>
      <c r="B92">
        <v>26</v>
      </c>
      <c r="C92" t="s">
        <v>25</v>
      </c>
      <c r="D92" t="s">
        <v>20</v>
      </c>
      <c r="E92" t="s">
        <v>21</v>
      </c>
      <c r="F92" t="s">
        <v>22</v>
      </c>
      <c r="G92" t="s">
        <v>50</v>
      </c>
      <c r="H92">
        <v>29.27</v>
      </c>
      <c r="I92">
        <v>1</v>
      </c>
      <c r="J92" s="1">
        <v>45725</v>
      </c>
      <c r="K92">
        <v>5</v>
      </c>
      <c r="L92" t="s">
        <v>48</v>
      </c>
      <c r="M92">
        <f t="shared" si="4"/>
        <v>29.27</v>
      </c>
      <c r="N92" t="str">
        <f t="shared" si="5"/>
        <v>Mar</v>
      </c>
    </row>
    <row r="93" spans="1:14" x14ac:dyDescent="0.3">
      <c r="A93" t="s">
        <v>142</v>
      </c>
      <c r="B93">
        <v>25</v>
      </c>
      <c r="C93" t="s">
        <v>13</v>
      </c>
      <c r="D93" t="s">
        <v>14</v>
      </c>
      <c r="E93" t="s">
        <v>27</v>
      </c>
      <c r="F93" t="s">
        <v>39</v>
      </c>
      <c r="G93" t="s">
        <v>29</v>
      </c>
      <c r="H93">
        <v>36.92</v>
      </c>
      <c r="I93">
        <v>3</v>
      </c>
      <c r="J93" s="1">
        <v>45832</v>
      </c>
      <c r="K93">
        <v>3</v>
      </c>
      <c r="L93" t="s">
        <v>44</v>
      </c>
      <c r="M93">
        <f t="shared" si="4"/>
        <v>110.76</v>
      </c>
      <c r="N93" t="str">
        <f t="shared" si="5"/>
        <v>Jun</v>
      </c>
    </row>
    <row r="94" spans="1:14" x14ac:dyDescent="0.3">
      <c r="A94" t="s">
        <v>143</v>
      </c>
      <c r="B94">
        <v>27</v>
      </c>
      <c r="C94" t="s">
        <v>13</v>
      </c>
      <c r="D94" t="s">
        <v>26</v>
      </c>
      <c r="E94" t="s">
        <v>27</v>
      </c>
      <c r="F94" t="s">
        <v>36</v>
      </c>
      <c r="G94" t="s">
        <v>23</v>
      </c>
      <c r="H94">
        <v>10.33</v>
      </c>
      <c r="I94">
        <v>3</v>
      </c>
      <c r="J94" s="1">
        <v>45958</v>
      </c>
      <c r="K94">
        <v>3</v>
      </c>
      <c r="L94" t="s">
        <v>34</v>
      </c>
      <c r="M94">
        <f t="shared" si="4"/>
        <v>30.990000000000002</v>
      </c>
      <c r="N94" t="str">
        <f t="shared" si="5"/>
        <v>Oct</v>
      </c>
    </row>
    <row r="95" spans="1:14" x14ac:dyDescent="0.3">
      <c r="A95" t="s">
        <v>144</v>
      </c>
      <c r="B95">
        <v>28</v>
      </c>
      <c r="C95" t="s">
        <v>13</v>
      </c>
      <c r="D95" t="s">
        <v>14</v>
      </c>
      <c r="E95" t="s">
        <v>27</v>
      </c>
      <c r="F95" t="s">
        <v>55</v>
      </c>
      <c r="G95" t="s">
        <v>40</v>
      </c>
      <c r="H95">
        <v>22.41</v>
      </c>
      <c r="I95">
        <v>3</v>
      </c>
      <c r="J95" s="1">
        <v>45698</v>
      </c>
      <c r="K95">
        <v>5</v>
      </c>
      <c r="L95" t="s">
        <v>30</v>
      </c>
      <c r="M95">
        <f t="shared" si="4"/>
        <v>67.23</v>
      </c>
      <c r="N95" t="str">
        <f t="shared" si="5"/>
        <v>Feb</v>
      </c>
    </row>
    <row r="96" spans="1:14" x14ac:dyDescent="0.3">
      <c r="A96" t="s">
        <v>145</v>
      </c>
      <c r="B96">
        <v>28</v>
      </c>
      <c r="C96" t="s">
        <v>13</v>
      </c>
      <c r="D96" t="s">
        <v>26</v>
      </c>
      <c r="E96" t="s">
        <v>15</v>
      </c>
      <c r="F96" t="s">
        <v>32</v>
      </c>
      <c r="G96" t="s">
        <v>40</v>
      </c>
      <c r="H96">
        <v>24.06</v>
      </c>
      <c r="I96">
        <v>5</v>
      </c>
      <c r="J96" s="1">
        <v>45992</v>
      </c>
      <c r="K96">
        <v>3</v>
      </c>
      <c r="L96" t="s">
        <v>18</v>
      </c>
      <c r="M96">
        <f t="shared" si="4"/>
        <v>120.3</v>
      </c>
      <c r="N96" t="str">
        <f t="shared" si="5"/>
        <v>Dec</v>
      </c>
    </row>
    <row r="97" spans="1:14" x14ac:dyDescent="0.3">
      <c r="A97" t="s">
        <v>146</v>
      </c>
      <c r="B97">
        <v>39</v>
      </c>
      <c r="C97" t="s">
        <v>13</v>
      </c>
      <c r="D97" t="s">
        <v>14</v>
      </c>
      <c r="E97" t="s">
        <v>15</v>
      </c>
      <c r="F97" t="s">
        <v>16</v>
      </c>
      <c r="G97" t="s">
        <v>37</v>
      </c>
      <c r="H97">
        <v>14.15</v>
      </c>
      <c r="I97">
        <v>2</v>
      </c>
      <c r="J97" s="1">
        <v>45693</v>
      </c>
      <c r="K97">
        <v>4</v>
      </c>
      <c r="L97" t="s">
        <v>18</v>
      </c>
      <c r="M97">
        <f t="shared" si="4"/>
        <v>28.3</v>
      </c>
      <c r="N97" t="str">
        <f t="shared" si="5"/>
        <v>Feb</v>
      </c>
    </row>
    <row r="98" spans="1:14" x14ac:dyDescent="0.3">
      <c r="A98" t="s">
        <v>147</v>
      </c>
      <c r="B98">
        <v>33</v>
      </c>
      <c r="C98" t="s">
        <v>13</v>
      </c>
      <c r="D98" t="s">
        <v>42</v>
      </c>
      <c r="E98" t="s">
        <v>27</v>
      </c>
      <c r="F98" t="s">
        <v>53</v>
      </c>
      <c r="G98" t="s">
        <v>37</v>
      </c>
      <c r="H98">
        <v>17.440000000000001</v>
      </c>
      <c r="I98">
        <v>1</v>
      </c>
      <c r="J98" s="1">
        <v>45814</v>
      </c>
      <c r="K98">
        <v>3</v>
      </c>
      <c r="L98" t="s">
        <v>48</v>
      </c>
      <c r="M98">
        <f t="shared" ref="M98:M129" si="6">H98*I98</f>
        <v>17.440000000000001</v>
      </c>
      <c r="N98" t="str">
        <f t="shared" ref="N98:N129" si="7">TEXT(J98,"mmm")</f>
        <v>Jun</v>
      </c>
    </row>
    <row r="99" spans="1:14" x14ac:dyDescent="0.3">
      <c r="A99" t="s">
        <v>148</v>
      </c>
      <c r="B99">
        <v>30</v>
      </c>
      <c r="C99" t="s">
        <v>25</v>
      </c>
      <c r="D99" t="s">
        <v>46</v>
      </c>
      <c r="E99" t="s">
        <v>15</v>
      </c>
      <c r="F99" t="s">
        <v>75</v>
      </c>
      <c r="G99" t="s">
        <v>29</v>
      </c>
      <c r="H99">
        <v>38.17</v>
      </c>
      <c r="I99">
        <v>2</v>
      </c>
      <c r="J99" s="1">
        <v>45985</v>
      </c>
      <c r="K99">
        <v>5</v>
      </c>
      <c r="L99" t="s">
        <v>59</v>
      </c>
      <c r="M99">
        <f t="shared" si="6"/>
        <v>76.34</v>
      </c>
      <c r="N99" t="str">
        <f t="shared" si="7"/>
        <v>Nov</v>
      </c>
    </row>
    <row r="100" spans="1:14" x14ac:dyDescent="0.3">
      <c r="A100" t="s">
        <v>149</v>
      </c>
      <c r="B100">
        <v>44</v>
      </c>
      <c r="C100" t="s">
        <v>13</v>
      </c>
      <c r="D100" t="s">
        <v>20</v>
      </c>
      <c r="E100" t="s">
        <v>27</v>
      </c>
      <c r="F100" t="s">
        <v>22</v>
      </c>
      <c r="G100" t="s">
        <v>50</v>
      </c>
      <c r="H100">
        <v>13.01</v>
      </c>
      <c r="I100">
        <v>2</v>
      </c>
      <c r="J100" s="1">
        <v>45996</v>
      </c>
      <c r="K100">
        <v>4</v>
      </c>
      <c r="L100" t="s">
        <v>44</v>
      </c>
      <c r="M100">
        <f t="shared" si="6"/>
        <v>26.02</v>
      </c>
      <c r="N100" t="str">
        <f t="shared" si="7"/>
        <v>Dec</v>
      </c>
    </row>
    <row r="101" spans="1:14" x14ac:dyDescent="0.3">
      <c r="A101" t="s">
        <v>150</v>
      </c>
      <c r="B101">
        <v>25</v>
      </c>
      <c r="C101" t="s">
        <v>25</v>
      </c>
      <c r="D101" t="s">
        <v>20</v>
      </c>
      <c r="E101" t="s">
        <v>15</v>
      </c>
      <c r="F101" t="s">
        <v>63</v>
      </c>
      <c r="G101" t="s">
        <v>37</v>
      </c>
      <c r="H101">
        <v>13.86</v>
      </c>
      <c r="I101">
        <v>2</v>
      </c>
      <c r="J101" s="1">
        <v>45877</v>
      </c>
      <c r="K101">
        <v>3</v>
      </c>
      <c r="L101" t="s">
        <v>18</v>
      </c>
      <c r="M101">
        <f t="shared" si="6"/>
        <v>27.72</v>
      </c>
      <c r="N101" t="str">
        <f t="shared" si="7"/>
        <v>Aug</v>
      </c>
    </row>
    <row r="102" spans="1:14" x14ac:dyDescent="0.3">
      <c r="A102" t="s">
        <v>151</v>
      </c>
      <c r="B102">
        <v>40</v>
      </c>
      <c r="C102" t="s">
        <v>13</v>
      </c>
      <c r="D102" t="s">
        <v>14</v>
      </c>
      <c r="E102" t="s">
        <v>15</v>
      </c>
      <c r="F102" t="s">
        <v>39</v>
      </c>
      <c r="G102" t="s">
        <v>37</v>
      </c>
      <c r="H102">
        <v>33.92</v>
      </c>
      <c r="I102">
        <v>3</v>
      </c>
      <c r="J102" s="1">
        <v>45963</v>
      </c>
      <c r="K102">
        <v>4</v>
      </c>
      <c r="L102" t="s">
        <v>59</v>
      </c>
      <c r="M102">
        <f t="shared" si="6"/>
        <v>101.76</v>
      </c>
      <c r="N102" t="str">
        <f t="shared" si="7"/>
        <v>Nov</v>
      </c>
    </row>
    <row r="103" spans="1:14" x14ac:dyDescent="0.3">
      <c r="A103" t="s">
        <v>152</v>
      </c>
      <c r="B103">
        <v>20</v>
      </c>
      <c r="C103" t="s">
        <v>13</v>
      </c>
      <c r="D103" t="s">
        <v>42</v>
      </c>
      <c r="E103" t="s">
        <v>21</v>
      </c>
      <c r="F103" t="s">
        <v>65</v>
      </c>
      <c r="G103" t="s">
        <v>40</v>
      </c>
      <c r="H103">
        <v>34.82</v>
      </c>
      <c r="I103">
        <v>4</v>
      </c>
      <c r="J103" s="1">
        <v>45846</v>
      </c>
      <c r="K103">
        <v>3</v>
      </c>
      <c r="L103" t="s">
        <v>59</v>
      </c>
      <c r="M103">
        <f t="shared" si="6"/>
        <v>139.28</v>
      </c>
      <c r="N103" t="str">
        <f t="shared" si="7"/>
        <v>Jul</v>
      </c>
    </row>
    <row r="104" spans="1:14" x14ac:dyDescent="0.3">
      <c r="A104" t="s">
        <v>153</v>
      </c>
      <c r="B104">
        <v>23</v>
      </c>
      <c r="C104" t="s">
        <v>13</v>
      </c>
      <c r="D104" t="s">
        <v>14</v>
      </c>
      <c r="E104" t="s">
        <v>27</v>
      </c>
      <c r="F104" t="s">
        <v>55</v>
      </c>
      <c r="G104" t="s">
        <v>40</v>
      </c>
      <c r="H104">
        <v>37.090000000000003</v>
      </c>
      <c r="I104">
        <v>4</v>
      </c>
      <c r="J104" s="1">
        <v>45795</v>
      </c>
      <c r="K104">
        <v>5</v>
      </c>
      <c r="L104" t="s">
        <v>30</v>
      </c>
      <c r="M104">
        <f t="shared" si="6"/>
        <v>148.36000000000001</v>
      </c>
      <c r="N104" t="str">
        <f t="shared" si="7"/>
        <v>May</v>
      </c>
    </row>
    <row r="105" spans="1:14" x14ac:dyDescent="0.3">
      <c r="A105" t="s">
        <v>154</v>
      </c>
      <c r="B105">
        <v>31</v>
      </c>
      <c r="C105" t="s">
        <v>13</v>
      </c>
      <c r="D105" t="s">
        <v>46</v>
      </c>
      <c r="E105" t="s">
        <v>21</v>
      </c>
      <c r="F105" t="s">
        <v>75</v>
      </c>
      <c r="G105" t="s">
        <v>40</v>
      </c>
      <c r="H105">
        <v>15.01</v>
      </c>
      <c r="I105">
        <v>5</v>
      </c>
      <c r="J105" s="1">
        <v>45843</v>
      </c>
      <c r="K105">
        <v>4</v>
      </c>
      <c r="L105" t="s">
        <v>34</v>
      </c>
      <c r="M105">
        <f t="shared" si="6"/>
        <v>75.05</v>
      </c>
      <c r="N105" t="str">
        <f t="shared" si="7"/>
        <v>Jul</v>
      </c>
    </row>
    <row r="106" spans="1:14" x14ac:dyDescent="0.3">
      <c r="A106" t="s">
        <v>155</v>
      </c>
      <c r="B106">
        <v>19</v>
      </c>
      <c r="C106" t="s">
        <v>13</v>
      </c>
      <c r="D106" t="s">
        <v>14</v>
      </c>
      <c r="E106" t="s">
        <v>27</v>
      </c>
      <c r="F106" t="s">
        <v>55</v>
      </c>
      <c r="G106" t="s">
        <v>23</v>
      </c>
      <c r="H106">
        <v>39.46</v>
      </c>
      <c r="I106">
        <v>1</v>
      </c>
      <c r="J106" s="1">
        <v>46009</v>
      </c>
      <c r="K106">
        <v>3</v>
      </c>
      <c r="L106" t="s">
        <v>30</v>
      </c>
      <c r="M106">
        <f t="shared" si="6"/>
        <v>39.46</v>
      </c>
      <c r="N106" t="str">
        <f t="shared" si="7"/>
        <v>Dec</v>
      </c>
    </row>
    <row r="107" spans="1:14" x14ac:dyDescent="0.3">
      <c r="A107" t="s">
        <v>156</v>
      </c>
      <c r="B107">
        <v>26</v>
      </c>
      <c r="C107" t="s">
        <v>25</v>
      </c>
      <c r="D107" t="s">
        <v>20</v>
      </c>
      <c r="E107" t="s">
        <v>21</v>
      </c>
      <c r="F107" t="s">
        <v>58</v>
      </c>
      <c r="G107" t="s">
        <v>37</v>
      </c>
      <c r="H107">
        <v>12.61</v>
      </c>
      <c r="I107">
        <v>1</v>
      </c>
      <c r="J107" s="1">
        <v>45803</v>
      </c>
      <c r="K107">
        <v>3</v>
      </c>
      <c r="L107" t="s">
        <v>34</v>
      </c>
      <c r="M107">
        <f t="shared" si="6"/>
        <v>12.61</v>
      </c>
      <c r="N107" t="str">
        <f t="shared" si="7"/>
        <v>May</v>
      </c>
    </row>
    <row r="108" spans="1:14" x14ac:dyDescent="0.3">
      <c r="A108" t="s">
        <v>157</v>
      </c>
      <c r="B108">
        <v>20</v>
      </c>
      <c r="C108" t="s">
        <v>13</v>
      </c>
      <c r="D108" t="s">
        <v>42</v>
      </c>
      <c r="E108" t="s">
        <v>15</v>
      </c>
      <c r="F108" t="s">
        <v>65</v>
      </c>
      <c r="G108" t="s">
        <v>40</v>
      </c>
      <c r="H108">
        <v>38.200000000000003</v>
      </c>
      <c r="I108">
        <v>2</v>
      </c>
      <c r="J108" s="1">
        <v>45949</v>
      </c>
      <c r="K108">
        <v>3</v>
      </c>
      <c r="L108" t="s">
        <v>30</v>
      </c>
      <c r="M108">
        <f t="shared" si="6"/>
        <v>76.400000000000006</v>
      </c>
      <c r="N108" t="str">
        <f t="shared" si="7"/>
        <v>Oct</v>
      </c>
    </row>
    <row r="109" spans="1:14" x14ac:dyDescent="0.3">
      <c r="A109" t="s">
        <v>158</v>
      </c>
      <c r="B109">
        <v>24</v>
      </c>
      <c r="C109" t="s">
        <v>13</v>
      </c>
      <c r="D109" t="s">
        <v>26</v>
      </c>
      <c r="E109" t="s">
        <v>27</v>
      </c>
      <c r="F109" t="s">
        <v>28</v>
      </c>
      <c r="G109" t="s">
        <v>29</v>
      </c>
      <c r="H109">
        <v>32.630000000000003</v>
      </c>
      <c r="I109">
        <v>5</v>
      </c>
      <c r="J109" s="1">
        <v>45674</v>
      </c>
      <c r="K109">
        <v>4</v>
      </c>
      <c r="L109" t="s">
        <v>59</v>
      </c>
      <c r="M109">
        <f t="shared" si="6"/>
        <v>163.15</v>
      </c>
      <c r="N109" t="str">
        <f t="shared" si="7"/>
        <v>Jan</v>
      </c>
    </row>
    <row r="110" spans="1:14" x14ac:dyDescent="0.3">
      <c r="A110" t="s">
        <v>159</v>
      </c>
      <c r="B110">
        <v>22</v>
      </c>
      <c r="C110" t="s">
        <v>25</v>
      </c>
      <c r="D110" t="s">
        <v>26</v>
      </c>
      <c r="E110" t="s">
        <v>15</v>
      </c>
      <c r="F110" t="s">
        <v>28</v>
      </c>
      <c r="G110" t="s">
        <v>23</v>
      </c>
      <c r="H110">
        <v>19.78</v>
      </c>
      <c r="I110">
        <v>5</v>
      </c>
      <c r="J110" s="1">
        <v>45795</v>
      </c>
      <c r="K110">
        <v>4</v>
      </c>
      <c r="L110" t="s">
        <v>18</v>
      </c>
      <c r="M110">
        <f t="shared" si="6"/>
        <v>98.9</v>
      </c>
      <c r="N110" t="str">
        <f t="shared" si="7"/>
        <v>May</v>
      </c>
    </row>
    <row r="111" spans="1:14" x14ac:dyDescent="0.3">
      <c r="A111" t="s">
        <v>160</v>
      </c>
      <c r="B111">
        <v>26</v>
      </c>
      <c r="C111" t="s">
        <v>25</v>
      </c>
      <c r="D111" t="s">
        <v>26</v>
      </c>
      <c r="E111" t="s">
        <v>27</v>
      </c>
      <c r="F111" t="s">
        <v>36</v>
      </c>
      <c r="G111" t="s">
        <v>37</v>
      </c>
      <c r="H111">
        <v>29.45</v>
      </c>
      <c r="I111">
        <v>3</v>
      </c>
      <c r="J111" s="1">
        <v>45871</v>
      </c>
      <c r="K111">
        <v>3</v>
      </c>
      <c r="L111" t="s">
        <v>44</v>
      </c>
      <c r="M111">
        <f t="shared" si="6"/>
        <v>88.35</v>
      </c>
      <c r="N111" t="str">
        <f t="shared" si="7"/>
        <v>Aug</v>
      </c>
    </row>
    <row r="112" spans="1:14" x14ac:dyDescent="0.3">
      <c r="A112" t="s">
        <v>161</v>
      </c>
      <c r="B112">
        <v>34</v>
      </c>
      <c r="C112" t="s">
        <v>13</v>
      </c>
      <c r="D112" t="s">
        <v>14</v>
      </c>
      <c r="E112" t="s">
        <v>27</v>
      </c>
      <c r="F112" t="s">
        <v>39</v>
      </c>
      <c r="G112" t="s">
        <v>29</v>
      </c>
      <c r="H112">
        <v>17.02</v>
      </c>
      <c r="I112">
        <v>4</v>
      </c>
      <c r="J112" s="1">
        <v>45912</v>
      </c>
      <c r="K112">
        <v>4</v>
      </c>
      <c r="L112" t="s">
        <v>34</v>
      </c>
      <c r="M112">
        <f t="shared" si="6"/>
        <v>68.08</v>
      </c>
      <c r="N112" t="str">
        <f t="shared" si="7"/>
        <v>Sep</v>
      </c>
    </row>
    <row r="113" spans="1:14" x14ac:dyDescent="0.3">
      <c r="A113" t="s">
        <v>162</v>
      </c>
      <c r="B113">
        <v>39</v>
      </c>
      <c r="C113" t="s">
        <v>13</v>
      </c>
      <c r="D113" t="s">
        <v>14</v>
      </c>
      <c r="E113" t="s">
        <v>15</v>
      </c>
      <c r="F113" t="s">
        <v>16</v>
      </c>
      <c r="G113" t="s">
        <v>40</v>
      </c>
      <c r="H113">
        <v>34.89</v>
      </c>
      <c r="I113">
        <v>4</v>
      </c>
      <c r="J113" s="1">
        <v>45683</v>
      </c>
      <c r="K113">
        <v>4</v>
      </c>
      <c r="L113" t="s">
        <v>44</v>
      </c>
      <c r="M113">
        <f t="shared" si="6"/>
        <v>139.56</v>
      </c>
      <c r="N113" t="str">
        <f t="shared" si="7"/>
        <v>Jan</v>
      </c>
    </row>
    <row r="114" spans="1:14" x14ac:dyDescent="0.3">
      <c r="A114" t="s">
        <v>163</v>
      </c>
      <c r="B114">
        <v>28</v>
      </c>
      <c r="C114" t="s">
        <v>25</v>
      </c>
      <c r="D114" t="s">
        <v>42</v>
      </c>
      <c r="E114" t="s">
        <v>15</v>
      </c>
      <c r="F114" t="s">
        <v>43</v>
      </c>
      <c r="G114" t="s">
        <v>29</v>
      </c>
      <c r="H114">
        <v>12.69</v>
      </c>
      <c r="I114">
        <v>5</v>
      </c>
      <c r="J114" s="1">
        <v>45895</v>
      </c>
      <c r="K114">
        <v>3</v>
      </c>
      <c r="L114" t="s">
        <v>30</v>
      </c>
      <c r="M114">
        <f t="shared" si="6"/>
        <v>63.449999999999996</v>
      </c>
      <c r="N114" t="str">
        <f t="shared" si="7"/>
        <v>Aug</v>
      </c>
    </row>
    <row r="115" spans="1:14" x14ac:dyDescent="0.3">
      <c r="A115" t="s">
        <v>164</v>
      </c>
      <c r="B115">
        <v>43</v>
      </c>
      <c r="C115" t="s">
        <v>13</v>
      </c>
      <c r="D115" t="s">
        <v>42</v>
      </c>
      <c r="E115" t="s">
        <v>21</v>
      </c>
      <c r="F115" t="s">
        <v>53</v>
      </c>
      <c r="G115" t="s">
        <v>29</v>
      </c>
      <c r="H115">
        <v>24.19</v>
      </c>
      <c r="I115">
        <v>1</v>
      </c>
      <c r="J115" s="1">
        <v>45952</v>
      </c>
      <c r="K115">
        <v>4</v>
      </c>
      <c r="L115" t="s">
        <v>30</v>
      </c>
      <c r="M115">
        <f t="shared" si="6"/>
        <v>24.19</v>
      </c>
      <c r="N115" t="str">
        <f t="shared" si="7"/>
        <v>Oct</v>
      </c>
    </row>
    <row r="116" spans="1:14" x14ac:dyDescent="0.3">
      <c r="A116" t="s">
        <v>165</v>
      </c>
      <c r="B116">
        <v>41</v>
      </c>
      <c r="C116" t="s">
        <v>25</v>
      </c>
      <c r="D116" t="s">
        <v>46</v>
      </c>
      <c r="E116" t="s">
        <v>15</v>
      </c>
      <c r="F116" t="s">
        <v>47</v>
      </c>
      <c r="G116" t="s">
        <v>17</v>
      </c>
      <c r="H116">
        <v>31.91</v>
      </c>
      <c r="I116">
        <v>5</v>
      </c>
      <c r="J116" s="1">
        <v>45953</v>
      </c>
      <c r="K116">
        <v>4</v>
      </c>
      <c r="L116" t="s">
        <v>34</v>
      </c>
      <c r="M116">
        <f t="shared" si="6"/>
        <v>159.55000000000001</v>
      </c>
      <c r="N116" t="str">
        <f t="shared" si="7"/>
        <v>Oct</v>
      </c>
    </row>
    <row r="117" spans="1:14" x14ac:dyDescent="0.3">
      <c r="A117" t="s">
        <v>166</v>
      </c>
      <c r="B117">
        <v>36</v>
      </c>
      <c r="C117" t="s">
        <v>13</v>
      </c>
      <c r="D117" t="s">
        <v>26</v>
      </c>
      <c r="E117" t="s">
        <v>15</v>
      </c>
      <c r="F117" t="s">
        <v>36</v>
      </c>
      <c r="G117" t="s">
        <v>33</v>
      </c>
      <c r="H117">
        <v>11.67</v>
      </c>
      <c r="I117">
        <v>1</v>
      </c>
      <c r="J117" s="1">
        <v>45918</v>
      </c>
      <c r="K117">
        <v>3</v>
      </c>
      <c r="L117" t="s">
        <v>44</v>
      </c>
      <c r="M117">
        <f t="shared" si="6"/>
        <v>11.67</v>
      </c>
      <c r="N117" t="str">
        <f t="shared" si="7"/>
        <v>Sep</v>
      </c>
    </row>
    <row r="118" spans="1:14" x14ac:dyDescent="0.3">
      <c r="A118" t="s">
        <v>167</v>
      </c>
      <c r="B118">
        <v>36</v>
      </c>
      <c r="C118" t="s">
        <v>25</v>
      </c>
      <c r="D118" t="s">
        <v>46</v>
      </c>
      <c r="E118" t="s">
        <v>15</v>
      </c>
      <c r="F118" t="s">
        <v>75</v>
      </c>
      <c r="G118" t="s">
        <v>50</v>
      </c>
      <c r="H118">
        <v>25.02</v>
      </c>
      <c r="I118">
        <v>4</v>
      </c>
      <c r="J118" s="1">
        <v>46018</v>
      </c>
      <c r="K118">
        <v>4</v>
      </c>
      <c r="L118" t="s">
        <v>18</v>
      </c>
      <c r="M118">
        <f t="shared" si="6"/>
        <v>100.08</v>
      </c>
      <c r="N118" t="str">
        <f t="shared" si="7"/>
        <v>Dec</v>
      </c>
    </row>
    <row r="119" spans="1:14" x14ac:dyDescent="0.3">
      <c r="A119" t="s">
        <v>168</v>
      </c>
      <c r="B119">
        <v>39</v>
      </c>
      <c r="C119" t="s">
        <v>13</v>
      </c>
      <c r="D119" t="s">
        <v>26</v>
      </c>
      <c r="E119" t="s">
        <v>27</v>
      </c>
      <c r="F119" t="s">
        <v>32</v>
      </c>
      <c r="G119" t="s">
        <v>40</v>
      </c>
      <c r="H119">
        <v>27.2</v>
      </c>
      <c r="I119">
        <v>5</v>
      </c>
      <c r="J119" s="1">
        <v>45874</v>
      </c>
      <c r="K119">
        <v>5</v>
      </c>
      <c r="L119" t="s">
        <v>34</v>
      </c>
      <c r="M119">
        <f t="shared" si="6"/>
        <v>136</v>
      </c>
      <c r="N119" t="str">
        <f t="shared" si="7"/>
        <v>Aug</v>
      </c>
    </row>
    <row r="120" spans="1:14" x14ac:dyDescent="0.3">
      <c r="A120" t="s">
        <v>169</v>
      </c>
      <c r="B120">
        <v>36</v>
      </c>
      <c r="C120" t="s">
        <v>13</v>
      </c>
      <c r="D120" t="s">
        <v>46</v>
      </c>
      <c r="E120" t="s">
        <v>27</v>
      </c>
      <c r="F120" t="s">
        <v>75</v>
      </c>
      <c r="G120" t="s">
        <v>29</v>
      </c>
      <c r="H120">
        <v>7.63</v>
      </c>
      <c r="I120">
        <v>2</v>
      </c>
      <c r="J120" s="1">
        <v>45785</v>
      </c>
      <c r="K120">
        <v>5</v>
      </c>
      <c r="L120" t="s">
        <v>44</v>
      </c>
      <c r="M120">
        <f t="shared" si="6"/>
        <v>15.26</v>
      </c>
      <c r="N120" t="str">
        <f t="shared" si="7"/>
        <v>May</v>
      </c>
    </row>
    <row r="121" spans="1:14" x14ac:dyDescent="0.3">
      <c r="A121" t="s">
        <v>170</v>
      </c>
      <c r="B121">
        <v>38</v>
      </c>
      <c r="C121" t="s">
        <v>13</v>
      </c>
      <c r="D121" t="s">
        <v>26</v>
      </c>
      <c r="E121" t="s">
        <v>15</v>
      </c>
      <c r="F121" t="s">
        <v>28</v>
      </c>
      <c r="G121" t="s">
        <v>40</v>
      </c>
      <c r="H121">
        <v>17.54</v>
      </c>
      <c r="I121">
        <v>4</v>
      </c>
      <c r="J121" s="1">
        <v>45690</v>
      </c>
      <c r="K121">
        <v>5</v>
      </c>
      <c r="L121" t="s">
        <v>48</v>
      </c>
      <c r="M121">
        <f t="shared" si="6"/>
        <v>70.16</v>
      </c>
      <c r="N121" t="str">
        <f t="shared" si="7"/>
        <v>Feb</v>
      </c>
    </row>
    <row r="122" spans="1:14" x14ac:dyDescent="0.3">
      <c r="A122" t="s">
        <v>171</v>
      </c>
      <c r="B122">
        <v>35</v>
      </c>
      <c r="C122" t="s">
        <v>25</v>
      </c>
      <c r="D122" t="s">
        <v>26</v>
      </c>
      <c r="E122" t="s">
        <v>21</v>
      </c>
      <c r="F122" t="s">
        <v>36</v>
      </c>
      <c r="G122" t="s">
        <v>33</v>
      </c>
      <c r="H122">
        <v>38.42</v>
      </c>
      <c r="I122">
        <v>4</v>
      </c>
      <c r="J122" s="1">
        <v>45956</v>
      </c>
      <c r="K122">
        <v>3</v>
      </c>
      <c r="L122" t="s">
        <v>48</v>
      </c>
      <c r="M122">
        <f t="shared" si="6"/>
        <v>153.68</v>
      </c>
      <c r="N122" t="str">
        <f t="shared" si="7"/>
        <v>Oct</v>
      </c>
    </row>
    <row r="123" spans="1:14" x14ac:dyDescent="0.3">
      <c r="A123" t="s">
        <v>172</v>
      </c>
      <c r="B123">
        <v>29</v>
      </c>
      <c r="C123" t="s">
        <v>13</v>
      </c>
      <c r="D123" t="s">
        <v>42</v>
      </c>
      <c r="E123" t="s">
        <v>27</v>
      </c>
      <c r="F123" t="s">
        <v>53</v>
      </c>
      <c r="G123" t="s">
        <v>23</v>
      </c>
      <c r="H123">
        <v>18.04</v>
      </c>
      <c r="I123">
        <v>2</v>
      </c>
      <c r="J123" s="1">
        <v>45951</v>
      </c>
      <c r="K123">
        <v>3</v>
      </c>
      <c r="L123" t="s">
        <v>73</v>
      </c>
      <c r="M123">
        <f t="shared" si="6"/>
        <v>36.08</v>
      </c>
      <c r="N123" t="str">
        <f t="shared" si="7"/>
        <v>Oct</v>
      </c>
    </row>
    <row r="124" spans="1:14" x14ac:dyDescent="0.3">
      <c r="A124" t="s">
        <v>173</v>
      </c>
      <c r="B124">
        <v>30</v>
      </c>
      <c r="C124" t="s">
        <v>13</v>
      </c>
      <c r="D124" t="s">
        <v>46</v>
      </c>
      <c r="E124" t="s">
        <v>15</v>
      </c>
      <c r="F124" t="s">
        <v>47</v>
      </c>
      <c r="G124" t="s">
        <v>23</v>
      </c>
      <c r="H124">
        <v>29.78</v>
      </c>
      <c r="I124">
        <v>5</v>
      </c>
      <c r="J124" s="1">
        <v>45790</v>
      </c>
      <c r="K124">
        <v>3</v>
      </c>
      <c r="L124" t="s">
        <v>44</v>
      </c>
      <c r="M124">
        <f t="shared" si="6"/>
        <v>148.9</v>
      </c>
      <c r="N124" t="str">
        <f t="shared" si="7"/>
        <v>May</v>
      </c>
    </row>
    <row r="125" spans="1:14" x14ac:dyDescent="0.3">
      <c r="A125" t="s">
        <v>174</v>
      </c>
      <c r="B125">
        <v>29</v>
      </c>
      <c r="C125" t="s">
        <v>25</v>
      </c>
      <c r="D125" t="s">
        <v>26</v>
      </c>
      <c r="E125" t="s">
        <v>21</v>
      </c>
      <c r="F125" t="s">
        <v>36</v>
      </c>
      <c r="G125" t="s">
        <v>17</v>
      </c>
      <c r="H125">
        <v>39.53</v>
      </c>
      <c r="I125">
        <v>4</v>
      </c>
      <c r="J125" s="1">
        <v>45662</v>
      </c>
      <c r="K125">
        <v>3</v>
      </c>
      <c r="L125" t="s">
        <v>34</v>
      </c>
      <c r="M125">
        <f t="shared" si="6"/>
        <v>158.12</v>
      </c>
      <c r="N125" t="str">
        <f t="shared" si="7"/>
        <v>Jan</v>
      </c>
    </row>
    <row r="126" spans="1:14" x14ac:dyDescent="0.3">
      <c r="A126" t="s">
        <v>175</v>
      </c>
      <c r="B126">
        <v>33</v>
      </c>
      <c r="C126" t="s">
        <v>13</v>
      </c>
      <c r="D126" t="s">
        <v>14</v>
      </c>
      <c r="E126" t="s">
        <v>15</v>
      </c>
      <c r="F126" t="s">
        <v>16</v>
      </c>
      <c r="G126" t="s">
        <v>50</v>
      </c>
      <c r="H126">
        <v>16.62</v>
      </c>
      <c r="I126">
        <v>2</v>
      </c>
      <c r="J126" s="1">
        <v>45880</v>
      </c>
      <c r="K126">
        <v>3</v>
      </c>
      <c r="L126" t="s">
        <v>44</v>
      </c>
      <c r="M126">
        <f t="shared" si="6"/>
        <v>33.24</v>
      </c>
      <c r="N126" t="str">
        <f t="shared" si="7"/>
        <v>Aug</v>
      </c>
    </row>
    <row r="127" spans="1:14" x14ac:dyDescent="0.3">
      <c r="A127" t="s">
        <v>176</v>
      </c>
      <c r="B127">
        <v>44</v>
      </c>
      <c r="C127" t="s">
        <v>25</v>
      </c>
      <c r="D127" t="s">
        <v>26</v>
      </c>
      <c r="E127" t="s">
        <v>15</v>
      </c>
      <c r="F127" t="s">
        <v>28</v>
      </c>
      <c r="G127" t="s">
        <v>33</v>
      </c>
      <c r="H127">
        <v>22.73</v>
      </c>
      <c r="I127">
        <v>5</v>
      </c>
      <c r="J127" s="1">
        <v>45811</v>
      </c>
      <c r="K127">
        <v>3</v>
      </c>
      <c r="L127" t="s">
        <v>18</v>
      </c>
      <c r="M127">
        <f t="shared" si="6"/>
        <v>113.65</v>
      </c>
      <c r="N127" t="str">
        <f t="shared" si="7"/>
        <v>Jun</v>
      </c>
    </row>
    <row r="128" spans="1:14" x14ac:dyDescent="0.3">
      <c r="A128" t="s">
        <v>177</v>
      </c>
      <c r="B128">
        <v>23</v>
      </c>
      <c r="C128" t="s">
        <v>25</v>
      </c>
      <c r="D128" t="s">
        <v>14</v>
      </c>
      <c r="E128" t="s">
        <v>27</v>
      </c>
      <c r="F128" t="s">
        <v>39</v>
      </c>
      <c r="G128" t="s">
        <v>33</v>
      </c>
      <c r="H128">
        <v>30.08</v>
      </c>
      <c r="I128">
        <v>2</v>
      </c>
      <c r="J128" s="1">
        <v>45933</v>
      </c>
      <c r="K128">
        <v>4</v>
      </c>
      <c r="L128" t="s">
        <v>18</v>
      </c>
      <c r="M128">
        <f t="shared" si="6"/>
        <v>60.16</v>
      </c>
      <c r="N128" t="str">
        <f t="shared" si="7"/>
        <v>Oct</v>
      </c>
    </row>
    <row r="129" spans="1:14" x14ac:dyDescent="0.3">
      <c r="A129" t="s">
        <v>178</v>
      </c>
      <c r="B129">
        <v>40</v>
      </c>
      <c r="C129" t="s">
        <v>25</v>
      </c>
      <c r="D129" t="s">
        <v>42</v>
      </c>
      <c r="E129" t="s">
        <v>27</v>
      </c>
      <c r="F129" t="s">
        <v>53</v>
      </c>
      <c r="G129" t="s">
        <v>23</v>
      </c>
      <c r="H129">
        <v>12.78</v>
      </c>
      <c r="I129">
        <v>2</v>
      </c>
      <c r="J129" s="1">
        <v>46000</v>
      </c>
      <c r="K129">
        <v>5</v>
      </c>
      <c r="L129" t="s">
        <v>73</v>
      </c>
      <c r="M129">
        <f t="shared" si="6"/>
        <v>25.56</v>
      </c>
      <c r="N129" t="str">
        <f t="shared" si="7"/>
        <v>Dec</v>
      </c>
    </row>
    <row r="130" spans="1:14" x14ac:dyDescent="0.3">
      <c r="A130" t="s">
        <v>179</v>
      </c>
      <c r="B130">
        <v>36</v>
      </c>
      <c r="C130" t="s">
        <v>25</v>
      </c>
      <c r="D130" t="s">
        <v>26</v>
      </c>
      <c r="E130" t="s">
        <v>21</v>
      </c>
      <c r="F130" t="s">
        <v>32</v>
      </c>
      <c r="G130" t="s">
        <v>29</v>
      </c>
      <c r="H130">
        <v>8.93</v>
      </c>
      <c r="I130">
        <v>5</v>
      </c>
      <c r="J130" s="1">
        <v>45869</v>
      </c>
      <c r="K130">
        <v>4</v>
      </c>
      <c r="L130" t="s">
        <v>73</v>
      </c>
      <c r="M130">
        <f t="shared" ref="M130:M161" si="8">H130*I130</f>
        <v>44.65</v>
      </c>
      <c r="N130" t="str">
        <f t="shared" ref="N130:N161" si="9">TEXT(J130,"mmm")</f>
        <v>Jul</v>
      </c>
    </row>
    <row r="131" spans="1:14" x14ac:dyDescent="0.3">
      <c r="A131" t="s">
        <v>180</v>
      </c>
      <c r="B131">
        <v>42</v>
      </c>
      <c r="C131" t="s">
        <v>13</v>
      </c>
      <c r="D131" t="s">
        <v>20</v>
      </c>
      <c r="E131" t="s">
        <v>27</v>
      </c>
      <c r="F131" t="s">
        <v>63</v>
      </c>
      <c r="G131" t="s">
        <v>50</v>
      </c>
      <c r="H131">
        <v>12.47</v>
      </c>
      <c r="I131">
        <v>5</v>
      </c>
      <c r="J131" s="1">
        <v>45746</v>
      </c>
      <c r="K131">
        <v>3</v>
      </c>
      <c r="L131" t="s">
        <v>48</v>
      </c>
      <c r="M131">
        <f t="shared" si="8"/>
        <v>62.35</v>
      </c>
      <c r="N131" t="str">
        <f t="shared" si="9"/>
        <v>Mar</v>
      </c>
    </row>
    <row r="132" spans="1:14" x14ac:dyDescent="0.3">
      <c r="A132" t="s">
        <v>181</v>
      </c>
      <c r="B132">
        <v>19</v>
      </c>
      <c r="C132" t="s">
        <v>25</v>
      </c>
      <c r="D132" t="s">
        <v>46</v>
      </c>
      <c r="E132" t="s">
        <v>21</v>
      </c>
      <c r="F132" t="s">
        <v>68</v>
      </c>
      <c r="G132" t="s">
        <v>29</v>
      </c>
      <c r="H132">
        <v>5.84</v>
      </c>
      <c r="I132">
        <v>1</v>
      </c>
      <c r="J132" s="1">
        <v>45949</v>
      </c>
      <c r="K132">
        <v>4</v>
      </c>
      <c r="L132" t="s">
        <v>18</v>
      </c>
      <c r="M132">
        <f t="shared" si="8"/>
        <v>5.84</v>
      </c>
      <c r="N132" t="str">
        <f t="shared" si="9"/>
        <v>Oct</v>
      </c>
    </row>
    <row r="133" spans="1:14" x14ac:dyDescent="0.3">
      <c r="A133" t="s">
        <v>182</v>
      </c>
      <c r="B133">
        <v>42</v>
      </c>
      <c r="C133" t="s">
        <v>13</v>
      </c>
      <c r="D133" t="s">
        <v>20</v>
      </c>
      <c r="E133" t="s">
        <v>15</v>
      </c>
      <c r="F133" t="s">
        <v>22</v>
      </c>
      <c r="G133" t="s">
        <v>33</v>
      </c>
      <c r="H133">
        <v>18.690000000000001</v>
      </c>
      <c r="I133">
        <v>1</v>
      </c>
      <c r="J133" s="1">
        <v>45948</v>
      </c>
      <c r="K133">
        <v>5</v>
      </c>
      <c r="L133" t="s">
        <v>18</v>
      </c>
      <c r="M133">
        <f t="shared" si="8"/>
        <v>18.690000000000001</v>
      </c>
      <c r="N133" t="str">
        <f t="shared" si="9"/>
        <v>Oct</v>
      </c>
    </row>
    <row r="134" spans="1:14" x14ac:dyDescent="0.3">
      <c r="A134" t="s">
        <v>183</v>
      </c>
      <c r="B134">
        <v>37</v>
      </c>
      <c r="C134" t="s">
        <v>25</v>
      </c>
      <c r="D134" t="s">
        <v>26</v>
      </c>
      <c r="E134" t="s">
        <v>21</v>
      </c>
      <c r="F134" t="s">
        <v>36</v>
      </c>
      <c r="G134" t="s">
        <v>33</v>
      </c>
      <c r="H134">
        <v>24.98</v>
      </c>
      <c r="I134">
        <v>2</v>
      </c>
      <c r="J134" s="1">
        <v>45733</v>
      </c>
      <c r="K134">
        <v>4</v>
      </c>
      <c r="L134" t="s">
        <v>73</v>
      </c>
      <c r="M134">
        <f t="shared" si="8"/>
        <v>49.96</v>
      </c>
      <c r="N134" t="str">
        <f t="shared" si="9"/>
        <v>Mar</v>
      </c>
    </row>
    <row r="135" spans="1:14" x14ac:dyDescent="0.3">
      <c r="A135" t="s">
        <v>184</v>
      </c>
      <c r="B135">
        <v>39</v>
      </c>
      <c r="C135" t="s">
        <v>25</v>
      </c>
      <c r="D135" t="s">
        <v>46</v>
      </c>
      <c r="E135" t="s">
        <v>27</v>
      </c>
      <c r="F135" t="s">
        <v>68</v>
      </c>
      <c r="G135" t="s">
        <v>29</v>
      </c>
      <c r="H135">
        <v>7.41</v>
      </c>
      <c r="I135">
        <v>4</v>
      </c>
      <c r="J135" s="1">
        <v>46008</v>
      </c>
      <c r="K135">
        <v>4</v>
      </c>
      <c r="L135" t="s">
        <v>18</v>
      </c>
      <c r="M135">
        <f t="shared" si="8"/>
        <v>29.64</v>
      </c>
      <c r="N135" t="str">
        <f t="shared" si="9"/>
        <v>Dec</v>
      </c>
    </row>
    <row r="136" spans="1:14" x14ac:dyDescent="0.3">
      <c r="A136" t="s">
        <v>185</v>
      </c>
      <c r="B136">
        <v>28</v>
      </c>
      <c r="C136" t="s">
        <v>25</v>
      </c>
      <c r="D136" t="s">
        <v>14</v>
      </c>
      <c r="E136" t="s">
        <v>15</v>
      </c>
      <c r="F136" t="s">
        <v>55</v>
      </c>
      <c r="G136" t="s">
        <v>33</v>
      </c>
      <c r="H136">
        <v>15.93</v>
      </c>
      <c r="I136">
        <v>2</v>
      </c>
      <c r="J136" s="1">
        <v>45943</v>
      </c>
      <c r="K136">
        <v>5</v>
      </c>
      <c r="L136" t="s">
        <v>44</v>
      </c>
      <c r="M136">
        <f t="shared" si="8"/>
        <v>31.86</v>
      </c>
      <c r="N136" t="str">
        <f t="shared" si="9"/>
        <v>Oct</v>
      </c>
    </row>
    <row r="137" spans="1:14" x14ac:dyDescent="0.3">
      <c r="A137" t="s">
        <v>186</v>
      </c>
      <c r="B137">
        <v>32</v>
      </c>
      <c r="C137" t="s">
        <v>13</v>
      </c>
      <c r="D137" t="s">
        <v>26</v>
      </c>
      <c r="E137" t="s">
        <v>15</v>
      </c>
      <c r="F137" t="s">
        <v>36</v>
      </c>
      <c r="G137" t="s">
        <v>17</v>
      </c>
      <c r="H137">
        <v>22.91</v>
      </c>
      <c r="I137">
        <v>4</v>
      </c>
      <c r="J137" s="1">
        <v>45773</v>
      </c>
      <c r="K137">
        <v>5</v>
      </c>
      <c r="L137" t="s">
        <v>34</v>
      </c>
      <c r="M137">
        <f t="shared" si="8"/>
        <v>91.64</v>
      </c>
      <c r="N137" t="str">
        <f t="shared" si="9"/>
        <v>Apr</v>
      </c>
    </row>
    <row r="138" spans="1:14" x14ac:dyDescent="0.3">
      <c r="A138" t="s">
        <v>187</v>
      </c>
      <c r="B138">
        <v>40</v>
      </c>
      <c r="C138" t="s">
        <v>13</v>
      </c>
      <c r="D138" t="s">
        <v>20</v>
      </c>
      <c r="E138" t="s">
        <v>27</v>
      </c>
      <c r="F138" t="s">
        <v>63</v>
      </c>
      <c r="G138" t="s">
        <v>23</v>
      </c>
      <c r="H138">
        <v>5.71</v>
      </c>
      <c r="I138">
        <v>3</v>
      </c>
      <c r="J138" s="1">
        <v>45903</v>
      </c>
      <c r="K138">
        <v>3</v>
      </c>
      <c r="L138" t="s">
        <v>44</v>
      </c>
      <c r="M138">
        <f t="shared" si="8"/>
        <v>17.13</v>
      </c>
      <c r="N138" t="str">
        <f t="shared" si="9"/>
        <v>Sep</v>
      </c>
    </row>
    <row r="139" spans="1:14" x14ac:dyDescent="0.3">
      <c r="A139" t="s">
        <v>188</v>
      </c>
      <c r="B139">
        <v>30</v>
      </c>
      <c r="C139" t="s">
        <v>13</v>
      </c>
      <c r="D139" t="s">
        <v>26</v>
      </c>
      <c r="E139" t="s">
        <v>21</v>
      </c>
      <c r="F139" t="s">
        <v>28</v>
      </c>
      <c r="G139" t="s">
        <v>23</v>
      </c>
      <c r="H139">
        <v>21.2</v>
      </c>
      <c r="I139">
        <v>2</v>
      </c>
      <c r="J139" s="1">
        <v>45742</v>
      </c>
      <c r="K139">
        <v>4</v>
      </c>
      <c r="L139" t="s">
        <v>18</v>
      </c>
      <c r="M139">
        <f t="shared" si="8"/>
        <v>42.4</v>
      </c>
      <c r="N139" t="str">
        <f t="shared" si="9"/>
        <v>Mar</v>
      </c>
    </row>
    <row r="140" spans="1:14" x14ac:dyDescent="0.3">
      <c r="A140" t="s">
        <v>189</v>
      </c>
      <c r="B140">
        <v>29</v>
      </c>
      <c r="C140" t="s">
        <v>25</v>
      </c>
      <c r="D140" t="s">
        <v>20</v>
      </c>
      <c r="E140" t="s">
        <v>15</v>
      </c>
      <c r="F140" t="s">
        <v>63</v>
      </c>
      <c r="G140" t="s">
        <v>40</v>
      </c>
      <c r="H140">
        <v>32.64</v>
      </c>
      <c r="I140">
        <v>4</v>
      </c>
      <c r="J140" s="1">
        <v>45974</v>
      </c>
      <c r="K140">
        <v>4</v>
      </c>
      <c r="L140" t="s">
        <v>34</v>
      </c>
      <c r="M140">
        <f t="shared" si="8"/>
        <v>130.56</v>
      </c>
      <c r="N140" t="str">
        <f t="shared" si="9"/>
        <v>Nov</v>
      </c>
    </row>
    <row r="141" spans="1:14" x14ac:dyDescent="0.3">
      <c r="A141" t="s">
        <v>190</v>
      </c>
      <c r="B141">
        <v>24</v>
      </c>
      <c r="C141" t="s">
        <v>25</v>
      </c>
      <c r="D141" t="s">
        <v>42</v>
      </c>
      <c r="E141" t="s">
        <v>27</v>
      </c>
      <c r="F141" t="s">
        <v>53</v>
      </c>
      <c r="G141" t="s">
        <v>50</v>
      </c>
      <c r="H141">
        <v>7.61</v>
      </c>
      <c r="I141">
        <v>2</v>
      </c>
      <c r="J141" s="1">
        <v>45906</v>
      </c>
      <c r="K141">
        <v>4</v>
      </c>
      <c r="L141" t="s">
        <v>30</v>
      </c>
      <c r="M141">
        <f t="shared" si="8"/>
        <v>15.22</v>
      </c>
      <c r="N141" t="str">
        <f t="shared" si="9"/>
        <v>Sep</v>
      </c>
    </row>
    <row r="142" spans="1:14" x14ac:dyDescent="0.3">
      <c r="A142" t="s">
        <v>191</v>
      </c>
      <c r="B142">
        <v>35</v>
      </c>
      <c r="C142" t="s">
        <v>25</v>
      </c>
      <c r="D142" t="s">
        <v>14</v>
      </c>
      <c r="E142" t="s">
        <v>15</v>
      </c>
      <c r="F142" t="s">
        <v>39</v>
      </c>
      <c r="G142" t="s">
        <v>40</v>
      </c>
      <c r="H142">
        <v>11.48</v>
      </c>
      <c r="I142">
        <v>4</v>
      </c>
      <c r="J142" s="1">
        <v>45822</v>
      </c>
      <c r="K142">
        <v>5</v>
      </c>
      <c r="L142" t="s">
        <v>30</v>
      </c>
      <c r="M142">
        <f t="shared" si="8"/>
        <v>45.92</v>
      </c>
      <c r="N142" t="str">
        <f t="shared" si="9"/>
        <v>Jun</v>
      </c>
    </row>
    <row r="143" spans="1:14" x14ac:dyDescent="0.3">
      <c r="A143" t="s">
        <v>192</v>
      </c>
      <c r="B143">
        <v>30</v>
      </c>
      <c r="C143" t="s">
        <v>25</v>
      </c>
      <c r="D143" t="s">
        <v>42</v>
      </c>
      <c r="E143" t="s">
        <v>21</v>
      </c>
      <c r="F143" t="s">
        <v>43</v>
      </c>
      <c r="G143" t="s">
        <v>50</v>
      </c>
      <c r="H143">
        <v>37.51</v>
      </c>
      <c r="I143">
        <v>3</v>
      </c>
      <c r="J143" s="1">
        <v>45829</v>
      </c>
      <c r="K143">
        <v>4</v>
      </c>
      <c r="L143" t="s">
        <v>34</v>
      </c>
      <c r="M143">
        <f t="shared" si="8"/>
        <v>112.53</v>
      </c>
      <c r="N143" t="str">
        <f t="shared" si="9"/>
        <v>Jun</v>
      </c>
    </row>
    <row r="144" spans="1:14" x14ac:dyDescent="0.3">
      <c r="A144" t="s">
        <v>193</v>
      </c>
      <c r="B144">
        <v>27</v>
      </c>
      <c r="C144" t="s">
        <v>13</v>
      </c>
      <c r="D144" t="s">
        <v>42</v>
      </c>
      <c r="E144" t="s">
        <v>27</v>
      </c>
      <c r="F144" t="s">
        <v>65</v>
      </c>
      <c r="G144" t="s">
        <v>17</v>
      </c>
      <c r="H144">
        <v>27.88</v>
      </c>
      <c r="I144">
        <v>4</v>
      </c>
      <c r="J144" s="1">
        <v>45768</v>
      </c>
      <c r="K144">
        <v>5</v>
      </c>
      <c r="L144" t="s">
        <v>34</v>
      </c>
      <c r="M144">
        <f t="shared" si="8"/>
        <v>111.52</v>
      </c>
      <c r="N144" t="str">
        <f t="shared" si="9"/>
        <v>Apr</v>
      </c>
    </row>
    <row r="145" spans="1:14" x14ac:dyDescent="0.3">
      <c r="A145" t="s">
        <v>194</v>
      </c>
      <c r="B145">
        <v>45</v>
      </c>
      <c r="C145" t="s">
        <v>13</v>
      </c>
      <c r="D145" t="s">
        <v>46</v>
      </c>
      <c r="E145" t="s">
        <v>27</v>
      </c>
      <c r="F145" t="s">
        <v>68</v>
      </c>
      <c r="G145" t="s">
        <v>50</v>
      </c>
      <c r="H145">
        <v>19.78</v>
      </c>
      <c r="I145">
        <v>5</v>
      </c>
      <c r="J145" s="1">
        <v>45780</v>
      </c>
      <c r="K145">
        <v>3</v>
      </c>
      <c r="L145" t="s">
        <v>73</v>
      </c>
      <c r="M145">
        <f t="shared" si="8"/>
        <v>98.9</v>
      </c>
      <c r="N145" t="str">
        <f t="shared" si="9"/>
        <v>May</v>
      </c>
    </row>
    <row r="146" spans="1:14" x14ac:dyDescent="0.3">
      <c r="A146" t="s">
        <v>195</v>
      </c>
      <c r="B146">
        <v>26</v>
      </c>
      <c r="C146" t="s">
        <v>13</v>
      </c>
      <c r="D146" t="s">
        <v>20</v>
      </c>
      <c r="E146" t="s">
        <v>15</v>
      </c>
      <c r="F146" t="s">
        <v>63</v>
      </c>
      <c r="G146" t="s">
        <v>29</v>
      </c>
      <c r="H146">
        <v>6.73</v>
      </c>
      <c r="I146">
        <v>3</v>
      </c>
      <c r="J146" s="1">
        <v>45685</v>
      </c>
      <c r="K146">
        <v>3</v>
      </c>
      <c r="L146" t="s">
        <v>30</v>
      </c>
      <c r="M146">
        <f t="shared" si="8"/>
        <v>20.190000000000001</v>
      </c>
      <c r="N146" t="str">
        <f t="shared" si="9"/>
        <v>Jan</v>
      </c>
    </row>
    <row r="147" spans="1:14" x14ac:dyDescent="0.3">
      <c r="A147" t="s">
        <v>196</v>
      </c>
      <c r="B147">
        <v>37</v>
      </c>
      <c r="C147" t="s">
        <v>25</v>
      </c>
      <c r="D147" t="s">
        <v>26</v>
      </c>
      <c r="E147" t="s">
        <v>15</v>
      </c>
      <c r="F147" t="s">
        <v>32</v>
      </c>
      <c r="G147" t="s">
        <v>37</v>
      </c>
      <c r="H147">
        <v>10.79</v>
      </c>
      <c r="I147">
        <v>1</v>
      </c>
      <c r="J147" s="1">
        <v>45887</v>
      </c>
      <c r="K147">
        <v>4</v>
      </c>
      <c r="L147" t="s">
        <v>59</v>
      </c>
      <c r="M147">
        <f t="shared" si="8"/>
        <v>10.79</v>
      </c>
      <c r="N147" t="str">
        <f t="shared" si="9"/>
        <v>Aug</v>
      </c>
    </row>
    <row r="148" spans="1:14" x14ac:dyDescent="0.3">
      <c r="A148" t="s">
        <v>197</v>
      </c>
      <c r="B148">
        <v>36</v>
      </c>
      <c r="C148" t="s">
        <v>25</v>
      </c>
      <c r="D148" t="s">
        <v>46</v>
      </c>
      <c r="E148" t="s">
        <v>27</v>
      </c>
      <c r="F148" t="s">
        <v>47</v>
      </c>
      <c r="G148" t="s">
        <v>23</v>
      </c>
      <c r="H148">
        <v>25.57</v>
      </c>
      <c r="I148">
        <v>1</v>
      </c>
      <c r="J148" s="1">
        <v>45786</v>
      </c>
      <c r="K148">
        <v>3</v>
      </c>
      <c r="L148" t="s">
        <v>44</v>
      </c>
      <c r="M148">
        <f t="shared" si="8"/>
        <v>25.57</v>
      </c>
      <c r="N148" t="str">
        <f t="shared" si="9"/>
        <v>May</v>
      </c>
    </row>
    <row r="149" spans="1:14" x14ac:dyDescent="0.3">
      <c r="A149" t="s">
        <v>198</v>
      </c>
      <c r="B149">
        <v>23</v>
      </c>
      <c r="C149" t="s">
        <v>13</v>
      </c>
      <c r="D149" t="s">
        <v>46</v>
      </c>
      <c r="E149" t="s">
        <v>15</v>
      </c>
      <c r="F149" t="s">
        <v>47</v>
      </c>
      <c r="G149" t="s">
        <v>33</v>
      </c>
      <c r="H149">
        <v>36.94</v>
      </c>
      <c r="I149">
        <v>4</v>
      </c>
      <c r="J149" s="1">
        <v>45857</v>
      </c>
      <c r="K149">
        <v>5</v>
      </c>
      <c r="L149" t="s">
        <v>34</v>
      </c>
      <c r="M149">
        <f t="shared" si="8"/>
        <v>147.76</v>
      </c>
      <c r="N149" t="str">
        <f t="shared" si="9"/>
        <v>Jul</v>
      </c>
    </row>
    <row r="150" spans="1:14" x14ac:dyDescent="0.3">
      <c r="A150" t="s">
        <v>199</v>
      </c>
      <c r="B150">
        <v>24</v>
      </c>
      <c r="C150" t="s">
        <v>25</v>
      </c>
      <c r="D150" t="s">
        <v>20</v>
      </c>
      <c r="E150" t="s">
        <v>21</v>
      </c>
      <c r="F150" t="s">
        <v>58</v>
      </c>
      <c r="G150" t="s">
        <v>17</v>
      </c>
      <c r="H150">
        <v>25.16</v>
      </c>
      <c r="I150">
        <v>4</v>
      </c>
      <c r="J150" s="1">
        <v>45789</v>
      </c>
      <c r="K150">
        <v>5</v>
      </c>
      <c r="L150" t="s">
        <v>34</v>
      </c>
      <c r="M150">
        <f t="shared" si="8"/>
        <v>100.64</v>
      </c>
      <c r="N150" t="str">
        <f t="shared" si="9"/>
        <v>May</v>
      </c>
    </row>
    <row r="151" spans="1:14" x14ac:dyDescent="0.3">
      <c r="A151" t="s">
        <v>200</v>
      </c>
      <c r="B151">
        <v>34</v>
      </c>
      <c r="C151" t="s">
        <v>25</v>
      </c>
      <c r="D151" t="s">
        <v>46</v>
      </c>
      <c r="E151" t="s">
        <v>15</v>
      </c>
      <c r="F151" t="s">
        <v>47</v>
      </c>
      <c r="G151" t="s">
        <v>33</v>
      </c>
      <c r="H151">
        <v>37.799999999999997</v>
      </c>
      <c r="I151">
        <v>1</v>
      </c>
      <c r="J151" s="1">
        <v>45858</v>
      </c>
      <c r="K151">
        <v>5</v>
      </c>
      <c r="L151" t="s">
        <v>44</v>
      </c>
      <c r="M151">
        <f t="shared" si="8"/>
        <v>37.799999999999997</v>
      </c>
      <c r="N151" t="str">
        <f t="shared" si="9"/>
        <v>Jul</v>
      </c>
    </row>
    <row r="152" spans="1:14" x14ac:dyDescent="0.3">
      <c r="A152" t="s">
        <v>201</v>
      </c>
      <c r="B152">
        <v>21</v>
      </c>
      <c r="C152" t="s">
        <v>13</v>
      </c>
      <c r="D152" t="s">
        <v>20</v>
      </c>
      <c r="E152" t="s">
        <v>21</v>
      </c>
      <c r="F152" t="s">
        <v>22</v>
      </c>
      <c r="G152" t="s">
        <v>40</v>
      </c>
      <c r="H152">
        <v>14.54</v>
      </c>
      <c r="I152">
        <v>2</v>
      </c>
      <c r="J152" s="1">
        <v>46021</v>
      </c>
      <c r="K152">
        <v>4</v>
      </c>
      <c r="L152" t="s">
        <v>48</v>
      </c>
      <c r="M152">
        <f t="shared" si="8"/>
        <v>29.08</v>
      </c>
      <c r="N152" t="str">
        <f t="shared" si="9"/>
        <v>Dec</v>
      </c>
    </row>
    <row r="153" spans="1:14" x14ac:dyDescent="0.3">
      <c r="A153" t="s">
        <v>202</v>
      </c>
      <c r="B153">
        <v>33</v>
      </c>
      <c r="C153" t="s">
        <v>25</v>
      </c>
      <c r="D153" t="s">
        <v>14</v>
      </c>
      <c r="E153" t="s">
        <v>21</v>
      </c>
      <c r="F153" t="s">
        <v>55</v>
      </c>
      <c r="G153" t="s">
        <v>50</v>
      </c>
      <c r="H153">
        <v>19.16</v>
      </c>
      <c r="I153">
        <v>1</v>
      </c>
      <c r="J153" s="1">
        <v>45690</v>
      </c>
      <c r="K153">
        <v>4</v>
      </c>
      <c r="L153" t="s">
        <v>48</v>
      </c>
      <c r="M153">
        <f t="shared" si="8"/>
        <v>19.16</v>
      </c>
      <c r="N153" t="str">
        <f t="shared" si="9"/>
        <v>Feb</v>
      </c>
    </row>
    <row r="154" spans="1:14" x14ac:dyDescent="0.3">
      <c r="A154" t="s">
        <v>203</v>
      </c>
      <c r="B154">
        <v>19</v>
      </c>
      <c r="C154" t="s">
        <v>25</v>
      </c>
      <c r="D154" t="s">
        <v>42</v>
      </c>
      <c r="E154" t="s">
        <v>27</v>
      </c>
      <c r="F154" t="s">
        <v>65</v>
      </c>
      <c r="G154" t="s">
        <v>23</v>
      </c>
      <c r="H154">
        <v>14.11</v>
      </c>
      <c r="I154">
        <v>4</v>
      </c>
      <c r="J154" s="1">
        <v>45905</v>
      </c>
      <c r="K154">
        <v>5</v>
      </c>
      <c r="L154" t="s">
        <v>34</v>
      </c>
      <c r="M154">
        <f t="shared" si="8"/>
        <v>56.44</v>
      </c>
      <c r="N154" t="str">
        <f t="shared" si="9"/>
        <v>Sep</v>
      </c>
    </row>
    <row r="155" spans="1:14" x14ac:dyDescent="0.3">
      <c r="A155" t="s">
        <v>204</v>
      </c>
      <c r="B155">
        <v>32</v>
      </c>
      <c r="C155" t="s">
        <v>25</v>
      </c>
      <c r="D155" t="s">
        <v>42</v>
      </c>
      <c r="E155" t="s">
        <v>21</v>
      </c>
      <c r="F155" t="s">
        <v>53</v>
      </c>
      <c r="G155" t="s">
        <v>50</v>
      </c>
      <c r="H155">
        <v>13.03</v>
      </c>
      <c r="I155">
        <v>1</v>
      </c>
      <c r="J155" s="1">
        <v>45879</v>
      </c>
      <c r="K155">
        <v>5</v>
      </c>
      <c r="L155" t="s">
        <v>59</v>
      </c>
      <c r="M155">
        <f t="shared" si="8"/>
        <v>13.03</v>
      </c>
      <c r="N155" t="str">
        <f t="shared" si="9"/>
        <v>Aug</v>
      </c>
    </row>
    <row r="156" spans="1:14" x14ac:dyDescent="0.3">
      <c r="A156" t="s">
        <v>205</v>
      </c>
      <c r="B156">
        <v>24</v>
      </c>
      <c r="C156" t="s">
        <v>25</v>
      </c>
      <c r="D156" t="s">
        <v>26</v>
      </c>
      <c r="E156" t="s">
        <v>21</v>
      </c>
      <c r="F156" t="s">
        <v>36</v>
      </c>
      <c r="G156" t="s">
        <v>23</v>
      </c>
      <c r="H156">
        <v>18.04</v>
      </c>
      <c r="I156">
        <v>2</v>
      </c>
      <c r="J156" s="1">
        <v>45738</v>
      </c>
      <c r="K156">
        <v>5</v>
      </c>
      <c r="L156" t="s">
        <v>59</v>
      </c>
      <c r="M156">
        <f t="shared" si="8"/>
        <v>36.08</v>
      </c>
      <c r="N156" t="str">
        <f t="shared" si="9"/>
        <v>Mar</v>
      </c>
    </row>
    <row r="157" spans="1:14" x14ac:dyDescent="0.3">
      <c r="A157" t="s">
        <v>206</v>
      </c>
      <c r="B157">
        <v>27</v>
      </c>
      <c r="C157" t="s">
        <v>13</v>
      </c>
      <c r="D157" t="s">
        <v>42</v>
      </c>
      <c r="E157" t="s">
        <v>21</v>
      </c>
      <c r="F157" t="s">
        <v>53</v>
      </c>
      <c r="G157" t="s">
        <v>23</v>
      </c>
      <c r="H157">
        <v>11.83</v>
      </c>
      <c r="I157">
        <v>1</v>
      </c>
      <c r="J157" s="1">
        <v>45923</v>
      </c>
      <c r="K157">
        <v>5</v>
      </c>
      <c r="L157" t="s">
        <v>44</v>
      </c>
      <c r="M157">
        <f t="shared" si="8"/>
        <v>11.83</v>
      </c>
      <c r="N157" t="str">
        <f t="shared" si="9"/>
        <v>Sep</v>
      </c>
    </row>
    <row r="158" spans="1:14" x14ac:dyDescent="0.3">
      <c r="A158" t="s">
        <v>207</v>
      </c>
      <c r="B158">
        <v>33</v>
      </c>
      <c r="C158" t="s">
        <v>25</v>
      </c>
      <c r="D158" t="s">
        <v>46</v>
      </c>
      <c r="E158" t="s">
        <v>21</v>
      </c>
      <c r="F158" t="s">
        <v>47</v>
      </c>
      <c r="G158" t="s">
        <v>17</v>
      </c>
      <c r="H158">
        <v>36.47</v>
      </c>
      <c r="I158">
        <v>2</v>
      </c>
      <c r="J158" s="1">
        <v>45787</v>
      </c>
      <c r="K158">
        <v>4</v>
      </c>
      <c r="L158" t="s">
        <v>34</v>
      </c>
      <c r="M158">
        <f t="shared" si="8"/>
        <v>72.94</v>
      </c>
      <c r="N158" t="str">
        <f t="shared" si="9"/>
        <v>May</v>
      </c>
    </row>
    <row r="159" spans="1:14" x14ac:dyDescent="0.3">
      <c r="A159" t="s">
        <v>208</v>
      </c>
      <c r="B159">
        <v>18</v>
      </c>
      <c r="C159" t="s">
        <v>25</v>
      </c>
      <c r="D159" t="s">
        <v>14</v>
      </c>
      <c r="E159" t="s">
        <v>27</v>
      </c>
      <c r="F159" t="s">
        <v>39</v>
      </c>
      <c r="G159" t="s">
        <v>17</v>
      </c>
      <c r="H159">
        <v>21.28</v>
      </c>
      <c r="I159">
        <v>1</v>
      </c>
      <c r="J159" s="1">
        <v>45802</v>
      </c>
      <c r="K159">
        <v>4</v>
      </c>
      <c r="L159" t="s">
        <v>34</v>
      </c>
      <c r="M159">
        <f t="shared" si="8"/>
        <v>21.28</v>
      </c>
      <c r="N159" t="str">
        <f t="shared" si="9"/>
        <v>May</v>
      </c>
    </row>
    <row r="160" spans="1:14" x14ac:dyDescent="0.3">
      <c r="A160" t="s">
        <v>209</v>
      </c>
      <c r="B160">
        <v>41</v>
      </c>
      <c r="C160" t="s">
        <v>13</v>
      </c>
      <c r="D160" t="s">
        <v>20</v>
      </c>
      <c r="E160" t="s">
        <v>21</v>
      </c>
      <c r="F160" t="s">
        <v>63</v>
      </c>
      <c r="G160" t="s">
        <v>33</v>
      </c>
      <c r="H160">
        <v>39.11</v>
      </c>
      <c r="I160">
        <v>4</v>
      </c>
      <c r="J160" s="1">
        <v>45879</v>
      </c>
      <c r="K160">
        <v>5</v>
      </c>
      <c r="L160" t="s">
        <v>48</v>
      </c>
      <c r="M160">
        <f t="shared" si="8"/>
        <v>156.44</v>
      </c>
      <c r="N160" t="str">
        <f t="shared" si="9"/>
        <v>Aug</v>
      </c>
    </row>
    <row r="161" spans="1:14" x14ac:dyDescent="0.3">
      <c r="A161" t="s">
        <v>210</v>
      </c>
      <c r="B161">
        <v>33</v>
      </c>
      <c r="C161" t="s">
        <v>25</v>
      </c>
      <c r="D161" t="s">
        <v>14</v>
      </c>
      <c r="E161" t="s">
        <v>21</v>
      </c>
      <c r="F161" t="s">
        <v>39</v>
      </c>
      <c r="G161" t="s">
        <v>29</v>
      </c>
      <c r="H161">
        <v>30.53</v>
      </c>
      <c r="I161">
        <v>3</v>
      </c>
      <c r="J161" s="1">
        <v>45823</v>
      </c>
      <c r="K161">
        <v>3</v>
      </c>
      <c r="L161" t="s">
        <v>48</v>
      </c>
      <c r="M161">
        <f t="shared" si="8"/>
        <v>91.59</v>
      </c>
      <c r="N161" t="str">
        <f t="shared" si="9"/>
        <v>Jun</v>
      </c>
    </row>
    <row r="162" spans="1:14" x14ac:dyDescent="0.3">
      <c r="A162" t="s">
        <v>211</v>
      </c>
      <c r="B162">
        <v>25</v>
      </c>
      <c r="C162" t="s">
        <v>13</v>
      </c>
      <c r="D162" t="s">
        <v>26</v>
      </c>
      <c r="E162" t="s">
        <v>21</v>
      </c>
      <c r="F162" t="s">
        <v>28</v>
      </c>
      <c r="G162" t="s">
        <v>29</v>
      </c>
      <c r="H162">
        <v>6.94</v>
      </c>
      <c r="I162">
        <v>1</v>
      </c>
      <c r="J162" s="1">
        <v>45680</v>
      </c>
      <c r="K162">
        <v>5</v>
      </c>
      <c r="L162" t="s">
        <v>34</v>
      </c>
      <c r="M162">
        <f t="shared" ref="M162:M193" si="10">H162*I162</f>
        <v>6.94</v>
      </c>
      <c r="N162" t="str">
        <f t="shared" ref="N162:N193" si="11">TEXT(J162,"mmm")</f>
        <v>Jan</v>
      </c>
    </row>
    <row r="163" spans="1:14" x14ac:dyDescent="0.3">
      <c r="A163" t="s">
        <v>212</v>
      </c>
      <c r="B163">
        <v>28</v>
      </c>
      <c r="C163" t="s">
        <v>13</v>
      </c>
      <c r="D163" t="s">
        <v>20</v>
      </c>
      <c r="E163" t="s">
        <v>21</v>
      </c>
      <c r="F163" t="s">
        <v>63</v>
      </c>
      <c r="G163" t="s">
        <v>40</v>
      </c>
      <c r="H163">
        <v>17.55</v>
      </c>
      <c r="I163">
        <v>5</v>
      </c>
      <c r="J163" s="1">
        <v>45806</v>
      </c>
      <c r="K163">
        <v>4</v>
      </c>
      <c r="L163" t="s">
        <v>59</v>
      </c>
      <c r="M163">
        <f t="shared" si="10"/>
        <v>87.75</v>
      </c>
      <c r="N163" t="str">
        <f t="shared" si="11"/>
        <v>May</v>
      </c>
    </row>
    <row r="164" spans="1:14" x14ac:dyDescent="0.3">
      <c r="A164" t="s">
        <v>213</v>
      </c>
      <c r="B164">
        <v>21</v>
      </c>
      <c r="C164" t="s">
        <v>25</v>
      </c>
      <c r="D164" t="s">
        <v>26</v>
      </c>
      <c r="E164" t="s">
        <v>15</v>
      </c>
      <c r="F164" t="s">
        <v>36</v>
      </c>
      <c r="G164" t="s">
        <v>17</v>
      </c>
      <c r="H164">
        <v>24.24</v>
      </c>
      <c r="I164">
        <v>3</v>
      </c>
      <c r="J164" s="1">
        <v>45737</v>
      </c>
      <c r="K164">
        <v>5</v>
      </c>
      <c r="L164" t="s">
        <v>73</v>
      </c>
      <c r="M164">
        <f t="shared" si="10"/>
        <v>72.72</v>
      </c>
      <c r="N164" t="str">
        <f t="shared" si="11"/>
        <v>Mar</v>
      </c>
    </row>
    <row r="165" spans="1:14" x14ac:dyDescent="0.3">
      <c r="A165" t="s">
        <v>214</v>
      </c>
      <c r="B165">
        <v>37</v>
      </c>
      <c r="C165" t="s">
        <v>25</v>
      </c>
      <c r="D165" t="s">
        <v>26</v>
      </c>
      <c r="E165" t="s">
        <v>27</v>
      </c>
      <c r="F165" t="s">
        <v>36</v>
      </c>
      <c r="G165" t="s">
        <v>23</v>
      </c>
      <c r="H165">
        <v>10.81</v>
      </c>
      <c r="I165">
        <v>1</v>
      </c>
      <c r="J165" s="1">
        <v>46020</v>
      </c>
      <c r="K165">
        <v>5</v>
      </c>
      <c r="L165" t="s">
        <v>34</v>
      </c>
      <c r="M165">
        <f t="shared" si="10"/>
        <v>10.81</v>
      </c>
      <c r="N165" t="str">
        <f t="shared" si="11"/>
        <v>Dec</v>
      </c>
    </row>
    <row r="166" spans="1:14" x14ac:dyDescent="0.3">
      <c r="A166" t="s">
        <v>215</v>
      </c>
      <c r="B166">
        <v>32</v>
      </c>
      <c r="C166" t="s">
        <v>13</v>
      </c>
      <c r="D166" t="s">
        <v>14</v>
      </c>
      <c r="E166" t="s">
        <v>27</v>
      </c>
      <c r="F166" t="s">
        <v>16</v>
      </c>
      <c r="G166" t="s">
        <v>23</v>
      </c>
      <c r="H166">
        <v>13.2</v>
      </c>
      <c r="I166">
        <v>3</v>
      </c>
      <c r="J166" s="1">
        <v>45924</v>
      </c>
      <c r="K166">
        <v>3</v>
      </c>
      <c r="L166" t="s">
        <v>34</v>
      </c>
      <c r="M166">
        <f t="shared" si="10"/>
        <v>39.599999999999994</v>
      </c>
      <c r="N166" t="str">
        <f t="shared" si="11"/>
        <v>Sep</v>
      </c>
    </row>
    <row r="167" spans="1:14" x14ac:dyDescent="0.3">
      <c r="A167" t="s">
        <v>216</v>
      </c>
      <c r="B167">
        <v>38</v>
      </c>
      <c r="C167" t="s">
        <v>13</v>
      </c>
      <c r="D167" t="s">
        <v>46</v>
      </c>
      <c r="E167" t="s">
        <v>15</v>
      </c>
      <c r="F167" t="s">
        <v>68</v>
      </c>
      <c r="G167" t="s">
        <v>17</v>
      </c>
      <c r="H167">
        <v>6.99</v>
      </c>
      <c r="I167">
        <v>2</v>
      </c>
      <c r="J167" s="1">
        <v>45968</v>
      </c>
      <c r="K167">
        <v>4</v>
      </c>
      <c r="L167" t="s">
        <v>30</v>
      </c>
      <c r="M167">
        <f t="shared" si="10"/>
        <v>13.98</v>
      </c>
      <c r="N167" t="str">
        <f t="shared" si="11"/>
        <v>Nov</v>
      </c>
    </row>
    <row r="168" spans="1:14" x14ac:dyDescent="0.3">
      <c r="A168" t="s">
        <v>217</v>
      </c>
      <c r="B168">
        <v>30</v>
      </c>
      <c r="C168" t="s">
        <v>13</v>
      </c>
      <c r="D168" t="s">
        <v>46</v>
      </c>
      <c r="E168" t="s">
        <v>21</v>
      </c>
      <c r="F168" t="s">
        <v>75</v>
      </c>
      <c r="G168" t="s">
        <v>17</v>
      </c>
      <c r="H168">
        <v>21.58</v>
      </c>
      <c r="I168">
        <v>5</v>
      </c>
      <c r="J168" s="1">
        <v>45766</v>
      </c>
      <c r="K168">
        <v>4</v>
      </c>
      <c r="L168" t="s">
        <v>18</v>
      </c>
      <c r="M168">
        <f t="shared" si="10"/>
        <v>107.89999999999999</v>
      </c>
      <c r="N168" t="str">
        <f t="shared" si="11"/>
        <v>Apr</v>
      </c>
    </row>
    <row r="169" spans="1:14" x14ac:dyDescent="0.3">
      <c r="A169" t="s">
        <v>218</v>
      </c>
      <c r="B169">
        <v>19</v>
      </c>
      <c r="C169" t="s">
        <v>13</v>
      </c>
      <c r="D169" t="s">
        <v>46</v>
      </c>
      <c r="E169" t="s">
        <v>21</v>
      </c>
      <c r="F169" t="s">
        <v>68</v>
      </c>
      <c r="G169" t="s">
        <v>29</v>
      </c>
      <c r="H169">
        <v>16.87</v>
      </c>
      <c r="I169">
        <v>3</v>
      </c>
      <c r="J169" s="1">
        <v>45820</v>
      </c>
      <c r="K169">
        <v>3</v>
      </c>
      <c r="L169" t="s">
        <v>73</v>
      </c>
      <c r="M169">
        <f t="shared" si="10"/>
        <v>50.61</v>
      </c>
      <c r="N169" t="str">
        <f t="shared" si="11"/>
        <v>Jun</v>
      </c>
    </row>
    <row r="170" spans="1:14" x14ac:dyDescent="0.3">
      <c r="A170" t="s">
        <v>219</v>
      </c>
      <c r="B170">
        <v>42</v>
      </c>
      <c r="C170" t="s">
        <v>13</v>
      </c>
      <c r="D170" t="s">
        <v>42</v>
      </c>
      <c r="E170" t="s">
        <v>15</v>
      </c>
      <c r="F170" t="s">
        <v>43</v>
      </c>
      <c r="G170" t="s">
        <v>23</v>
      </c>
      <c r="H170">
        <v>39.31</v>
      </c>
      <c r="I170">
        <v>2</v>
      </c>
      <c r="J170" s="1">
        <v>45961</v>
      </c>
      <c r="K170">
        <v>5</v>
      </c>
      <c r="L170" t="s">
        <v>34</v>
      </c>
      <c r="M170">
        <f t="shared" si="10"/>
        <v>78.62</v>
      </c>
      <c r="N170" t="str">
        <f t="shared" si="11"/>
        <v>Oct</v>
      </c>
    </row>
    <row r="171" spans="1:14" x14ac:dyDescent="0.3">
      <c r="A171" t="s">
        <v>220</v>
      </c>
      <c r="B171">
        <v>38</v>
      </c>
      <c r="C171" t="s">
        <v>13</v>
      </c>
      <c r="D171" t="s">
        <v>20</v>
      </c>
      <c r="E171" t="s">
        <v>21</v>
      </c>
      <c r="F171" t="s">
        <v>58</v>
      </c>
      <c r="G171" t="s">
        <v>40</v>
      </c>
      <c r="H171">
        <v>5.05</v>
      </c>
      <c r="I171">
        <v>3</v>
      </c>
      <c r="J171" s="1">
        <v>46010</v>
      </c>
      <c r="K171">
        <v>3</v>
      </c>
      <c r="L171" t="s">
        <v>48</v>
      </c>
      <c r="M171">
        <f t="shared" si="10"/>
        <v>15.149999999999999</v>
      </c>
      <c r="N171" t="str">
        <f t="shared" si="11"/>
        <v>Dec</v>
      </c>
    </row>
    <row r="172" spans="1:14" x14ac:dyDescent="0.3">
      <c r="A172" t="s">
        <v>221</v>
      </c>
      <c r="B172">
        <v>43</v>
      </c>
      <c r="C172" t="s">
        <v>13</v>
      </c>
      <c r="D172" t="s">
        <v>26</v>
      </c>
      <c r="E172" t="s">
        <v>15</v>
      </c>
      <c r="F172" t="s">
        <v>36</v>
      </c>
      <c r="G172" t="s">
        <v>50</v>
      </c>
      <c r="H172">
        <v>32.6</v>
      </c>
      <c r="I172">
        <v>1</v>
      </c>
      <c r="J172" s="1">
        <v>45985</v>
      </c>
      <c r="K172">
        <v>3</v>
      </c>
      <c r="L172" t="s">
        <v>34</v>
      </c>
      <c r="M172">
        <f t="shared" si="10"/>
        <v>32.6</v>
      </c>
      <c r="N172" t="str">
        <f t="shared" si="11"/>
        <v>Nov</v>
      </c>
    </row>
    <row r="173" spans="1:14" x14ac:dyDescent="0.3">
      <c r="A173" t="s">
        <v>222</v>
      </c>
      <c r="B173">
        <v>42</v>
      </c>
      <c r="C173" t="s">
        <v>25</v>
      </c>
      <c r="D173" t="s">
        <v>20</v>
      </c>
      <c r="E173" t="s">
        <v>21</v>
      </c>
      <c r="F173" t="s">
        <v>63</v>
      </c>
      <c r="G173" t="s">
        <v>17</v>
      </c>
      <c r="H173">
        <v>16.03</v>
      </c>
      <c r="I173">
        <v>3</v>
      </c>
      <c r="J173" s="1">
        <v>46013</v>
      </c>
      <c r="K173">
        <v>4</v>
      </c>
      <c r="L173" t="s">
        <v>18</v>
      </c>
      <c r="M173">
        <f t="shared" si="10"/>
        <v>48.09</v>
      </c>
      <c r="N173" t="str">
        <f t="shared" si="11"/>
        <v>Dec</v>
      </c>
    </row>
    <row r="174" spans="1:14" x14ac:dyDescent="0.3">
      <c r="A174" t="s">
        <v>223</v>
      </c>
      <c r="B174">
        <v>25</v>
      </c>
      <c r="C174" t="s">
        <v>13</v>
      </c>
      <c r="D174" t="s">
        <v>46</v>
      </c>
      <c r="E174" t="s">
        <v>27</v>
      </c>
      <c r="F174" t="s">
        <v>75</v>
      </c>
      <c r="G174" t="s">
        <v>33</v>
      </c>
      <c r="H174">
        <v>14.22</v>
      </c>
      <c r="I174">
        <v>4</v>
      </c>
      <c r="J174" s="1">
        <v>45881</v>
      </c>
      <c r="K174">
        <v>5</v>
      </c>
      <c r="L174" t="s">
        <v>18</v>
      </c>
      <c r="M174">
        <f t="shared" si="10"/>
        <v>56.88</v>
      </c>
      <c r="N174" t="str">
        <f t="shared" si="11"/>
        <v>Aug</v>
      </c>
    </row>
    <row r="175" spans="1:14" x14ac:dyDescent="0.3">
      <c r="A175" t="s">
        <v>224</v>
      </c>
      <c r="B175">
        <v>19</v>
      </c>
      <c r="C175" t="s">
        <v>13</v>
      </c>
      <c r="D175" t="s">
        <v>26</v>
      </c>
      <c r="E175" t="s">
        <v>15</v>
      </c>
      <c r="F175" t="s">
        <v>28</v>
      </c>
      <c r="G175" t="s">
        <v>50</v>
      </c>
      <c r="H175">
        <v>23.86</v>
      </c>
      <c r="I175">
        <v>3</v>
      </c>
      <c r="J175" s="1">
        <v>45673</v>
      </c>
      <c r="K175">
        <v>3</v>
      </c>
      <c r="L175" t="s">
        <v>34</v>
      </c>
      <c r="M175">
        <f t="shared" si="10"/>
        <v>71.58</v>
      </c>
      <c r="N175" t="str">
        <f t="shared" si="11"/>
        <v>Jan</v>
      </c>
    </row>
    <row r="176" spans="1:14" x14ac:dyDescent="0.3">
      <c r="A176" t="s">
        <v>225</v>
      </c>
      <c r="B176">
        <v>34</v>
      </c>
      <c r="C176" t="s">
        <v>13</v>
      </c>
      <c r="D176" t="s">
        <v>26</v>
      </c>
      <c r="E176" t="s">
        <v>15</v>
      </c>
      <c r="F176" t="s">
        <v>36</v>
      </c>
      <c r="G176" t="s">
        <v>50</v>
      </c>
      <c r="H176">
        <v>19.64</v>
      </c>
      <c r="I176">
        <v>2</v>
      </c>
      <c r="J176" s="1">
        <v>45917</v>
      </c>
      <c r="K176">
        <v>5</v>
      </c>
      <c r="L176" t="s">
        <v>30</v>
      </c>
      <c r="M176">
        <f t="shared" si="10"/>
        <v>39.28</v>
      </c>
      <c r="N176" t="str">
        <f t="shared" si="11"/>
        <v>Sep</v>
      </c>
    </row>
    <row r="177" spans="1:14" x14ac:dyDescent="0.3">
      <c r="A177" t="s">
        <v>226</v>
      </c>
      <c r="B177">
        <v>23</v>
      </c>
      <c r="C177" t="s">
        <v>13</v>
      </c>
      <c r="D177" t="s">
        <v>20</v>
      </c>
      <c r="E177" t="s">
        <v>21</v>
      </c>
      <c r="F177" t="s">
        <v>22</v>
      </c>
      <c r="G177" t="s">
        <v>17</v>
      </c>
      <c r="H177">
        <v>28.8</v>
      </c>
      <c r="I177">
        <v>5</v>
      </c>
      <c r="J177" s="1">
        <v>45815</v>
      </c>
      <c r="K177">
        <v>3</v>
      </c>
      <c r="L177" t="s">
        <v>59</v>
      </c>
      <c r="M177">
        <f t="shared" si="10"/>
        <v>144</v>
      </c>
      <c r="N177" t="str">
        <f t="shared" si="11"/>
        <v>Jun</v>
      </c>
    </row>
    <row r="178" spans="1:14" x14ac:dyDescent="0.3">
      <c r="A178" t="s">
        <v>227</v>
      </c>
      <c r="B178">
        <v>38</v>
      </c>
      <c r="C178" t="s">
        <v>13</v>
      </c>
      <c r="D178" t="s">
        <v>14</v>
      </c>
      <c r="E178" t="s">
        <v>21</v>
      </c>
      <c r="F178" t="s">
        <v>16</v>
      </c>
      <c r="G178" t="s">
        <v>23</v>
      </c>
      <c r="H178">
        <v>10.4</v>
      </c>
      <c r="I178">
        <v>1</v>
      </c>
      <c r="J178" s="1">
        <v>45935</v>
      </c>
      <c r="K178">
        <v>5</v>
      </c>
      <c r="L178" t="s">
        <v>59</v>
      </c>
      <c r="M178">
        <f t="shared" si="10"/>
        <v>10.4</v>
      </c>
      <c r="N178" t="str">
        <f t="shared" si="11"/>
        <v>Oct</v>
      </c>
    </row>
    <row r="179" spans="1:14" x14ac:dyDescent="0.3">
      <c r="A179" t="s">
        <v>228</v>
      </c>
      <c r="B179">
        <v>19</v>
      </c>
      <c r="C179" t="s">
        <v>13</v>
      </c>
      <c r="D179" t="s">
        <v>46</v>
      </c>
      <c r="E179" t="s">
        <v>21</v>
      </c>
      <c r="F179" t="s">
        <v>68</v>
      </c>
      <c r="G179" t="s">
        <v>37</v>
      </c>
      <c r="H179">
        <v>20.149999999999999</v>
      </c>
      <c r="I179">
        <v>1</v>
      </c>
      <c r="J179" s="1">
        <v>45987</v>
      </c>
      <c r="K179">
        <v>4</v>
      </c>
      <c r="L179" t="s">
        <v>30</v>
      </c>
      <c r="M179">
        <f t="shared" si="10"/>
        <v>20.149999999999999</v>
      </c>
      <c r="N179" t="str">
        <f t="shared" si="11"/>
        <v>Nov</v>
      </c>
    </row>
    <row r="180" spans="1:14" x14ac:dyDescent="0.3">
      <c r="A180" t="s">
        <v>229</v>
      </c>
      <c r="B180">
        <v>44</v>
      </c>
      <c r="C180" t="s">
        <v>25</v>
      </c>
      <c r="D180" t="s">
        <v>46</v>
      </c>
      <c r="E180" t="s">
        <v>15</v>
      </c>
      <c r="F180" t="s">
        <v>75</v>
      </c>
      <c r="G180" t="s">
        <v>33</v>
      </c>
      <c r="H180">
        <v>23.44</v>
      </c>
      <c r="I180">
        <v>4</v>
      </c>
      <c r="J180" s="1">
        <v>45744</v>
      </c>
      <c r="K180">
        <v>3</v>
      </c>
      <c r="L180" t="s">
        <v>18</v>
      </c>
      <c r="M180">
        <f t="shared" si="10"/>
        <v>93.76</v>
      </c>
      <c r="N180" t="str">
        <f t="shared" si="11"/>
        <v>Mar</v>
      </c>
    </row>
    <row r="181" spans="1:14" x14ac:dyDescent="0.3">
      <c r="A181" t="s">
        <v>230</v>
      </c>
      <c r="B181">
        <v>29</v>
      </c>
      <c r="C181" t="s">
        <v>25</v>
      </c>
      <c r="D181" t="s">
        <v>26</v>
      </c>
      <c r="E181" t="s">
        <v>21</v>
      </c>
      <c r="F181" t="s">
        <v>28</v>
      </c>
      <c r="G181" t="s">
        <v>17</v>
      </c>
      <c r="H181">
        <v>8.6</v>
      </c>
      <c r="I181">
        <v>4</v>
      </c>
      <c r="J181" s="1">
        <v>45777</v>
      </c>
      <c r="K181">
        <v>5</v>
      </c>
      <c r="L181" t="s">
        <v>73</v>
      </c>
      <c r="M181">
        <f t="shared" si="10"/>
        <v>34.4</v>
      </c>
      <c r="N181" t="str">
        <f t="shared" si="11"/>
        <v>Apr</v>
      </c>
    </row>
    <row r="182" spans="1:14" x14ac:dyDescent="0.3">
      <c r="A182" t="s">
        <v>231</v>
      </c>
      <c r="B182">
        <v>40</v>
      </c>
      <c r="C182" t="s">
        <v>13</v>
      </c>
      <c r="D182" t="s">
        <v>20</v>
      </c>
      <c r="E182" t="s">
        <v>21</v>
      </c>
      <c r="F182" t="s">
        <v>58</v>
      </c>
      <c r="G182" t="s">
        <v>23</v>
      </c>
      <c r="H182">
        <v>33.159999999999997</v>
      </c>
      <c r="I182">
        <v>3</v>
      </c>
      <c r="J182" s="1">
        <v>45893</v>
      </c>
      <c r="K182">
        <v>4</v>
      </c>
      <c r="L182" t="s">
        <v>18</v>
      </c>
      <c r="M182">
        <f t="shared" si="10"/>
        <v>99.47999999999999</v>
      </c>
      <c r="N182" t="str">
        <f t="shared" si="11"/>
        <v>Aug</v>
      </c>
    </row>
    <row r="183" spans="1:14" x14ac:dyDescent="0.3">
      <c r="A183" t="s">
        <v>232</v>
      </c>
      <c r="B183">
        <v>45</v>
      </c>
      <c r="C183" t="s">
        <v>25</v>
      </c>
      <c r="D183" t="s">
        <v>42</v>
      </c>
      <c r="E183" t="s">
        <v>21</v>
      </c>
      <c r="F183" t="s">
        <v>65</v>
      </c>
      <c r="G183" t="s">
        <v>37</v>
      </c>
      <c r="H183">
        <v>10.35</v>
      </c>
      <c r="I183">
        <v>4</v>
      </c>
      <c r="J183" s="1">
        <v>45825</v>
      </c>
      <c r="K183">
        <v>4</v>
      </c>
      <c r="L183" t="s">
        <v>73</v>
      </c>
      <c r="M183">
        <f t="shared" si="10"/>
        <v>41.4</v>
      </c>
      <c r="N183" t="str">
        <f t="shared" si="11"/>
        <v>Jun</v>
      </c>
    </row>
    <row r="184" spans="1:14" x14ac:dyDescent="0.3">
      <c r="A184" t="s">
        <v>233</v>
      </c>
      <c r="B184">
        <v>39</v>
      </c>
      <c r="C184" t="s">
        <v>13</v>
      </c>
      <c r="D184" t="s">
        <v>20</v>
      </c>
      <c r="E184" t="s">
        <v>27</v>
      </c>
      <c r="F184" t="s">
        <v>22</v>
      </c>
      <c r="G184" t="s">
        <v>33</v>
      </c>
      <c r="H184">
        <v>24.56</v>
      </c>
      <c r="I184">
        <v>1</v>
      </c>
      <c r="J184" s="1">
        <v>45877</v>
      </c>
      <c r="K184">
        <v>4</v>
      </c>
      <c r="L184" t="s">
        <v>48</v>
      </c>
      <c r="M184">
        <f t="shared" si="10"/>
        <v>24.56</v>
      </c>
      <c r="N184" t="str">
        <f t="shared" si="11"/>
        <v>Aug</v>
      </c>
    </row>
    <row r="185" spans="1:14" x14ac:dyDescent="0.3">
      <c r="A185" t="s">
        <v>234</v>
      </c>
      <c r="B185">
        <v>18</v>
      </c>
      <c r="C185" t="s">
        <v>13</v>
      </c>
      <c r="D185" t="s">
        <v>42</v>
      </c>
      <c r="E185" t="s">
        <v>15</v>
      </c>
      <c r="F185" t="s">
        <v>65</v>
      </c>
      <c r="G185" t="s">
        <v>37</v>
      </c>
      <c r="H185">
        <v>8.08</v>
      </c>
      <c r="I185">
        <v>3</v>
      </c>
      <c r="J185" s="1">
        <v>45772</v>
      </c>
      <c r="K185">
        <v>4</v>
      </c>
      <c r="L185" t="s">
        <v>18</v>
      </c>
      <c r="M185">
        <f t="shared" si="10"/>
        <v>24.240000000000002</v>
      </c>
      <c r="N185" t="str">
        <f t="shared" si="11"/>
        <v>Apr</v>
      </c>
    </row>
    <row r="186" spans="1:14" x14ac:dyDescent="0.3">
      <c r="A186" t="s">
        <v>235</v>
      </c>
      <c r="B186">
        <v>28</v>
      </c>
      <c r="C186" t="s">
        <v>13</v>
      </c>
      <c r="D186" t="s">
        <v>26</v>
      </c>
      <c r="E186" t="s">
        <v>15</v>
      </c>
      <c r="F186" t="s">
        <v>36</v>
      </c>
      <c r="G186" t="s">
        <v>33</v>
      </c>
      <c r="H186">
        <v>37.83</v>
      </c>
      <c r="I186">
        <v>2</v>
      </c>
      <c r="J186" s="1">
        <v>45904</v>
      </c>
      <c r="K186">
        <v>5</v>
      </c>
      <c r="L186" t="s">
        <v>18</v>
      </c>
      <c r="M186">
        <f t="shared" si="10"/>
        <v>75.66</v>
      </c>
      <c r="N186" t="str">
        <f t="shared" si="11"/>
        <v>Sep</v>
      </c>
    </row>
    <row r="187" spans="1:14" x14ac:dyDescent="0.3">
      <c r="A187" t="s">
        <v>236</v>
      </c>
      <c r="B187">
        <v>45</v>
      </c>
      <c r="C187" t="s">
        <v>25</v>
      </c>
      <c r="D187" t="s">
        <v>14</v>
      </c>
      <c r="E187" t="s">
        <v>27</v>
      </c>
      <c r="F187" t="s">
        <v>16</v>
      </c>
      <c r="G187" t="s">
        <v>37</v>
      </c>
      <c r="H187">
        <v>17.13</v>
      </c>
      <c r="I187">
        <v>1</v>
      </c>
      <c r="J187" s="1">
        <v>45765</v>
      </c>
      <c r="K187">
        <v>4</v>
      </c>
      <c r="L187" t="s">
        <v>30</v>
      </c>
      <c r="M187">
        <f t="shared" si="10"/>
        <v>17.13</v>
      </c>
      <c r="N187" t="str">
        <f t="shared" si="11"/>
        <v>Apr</v>
      </c>
    </row>
    <row r="188" spans="1:14" x14ac:dyDescent="0.3">
      <c r="A188" t="s">
        <v>237</v>
      </c>
      <c r="B188">
        <v>19</v>
      </c>
      <c r="C188" t="s">
        <v>25</v>
      </c>
      <c r="D188" t="s">
        <v>14</v>
      </c>
      <c r="E188" t="s">
        <v>27</v>
      </c>
      <c r="F188" t="s">
        <v>39</v>
      </c>
      <c r="G188" t="s">
        <v>40</v>
      </c>
      <c r="H188">
        <v>23.31</v>
      </c>
      <c r="I188">
        <v>4</v>
      </c>
      <c r="J188" s="1">
        <v>45736</v>
      </c>
      <c r="K188">
        <v>5</v>
      </c>
      <c r="L188" t="s">
        <v>18</v>
      </c>
      <c r="M188">
        <f t="shared" si="10"/>
        <v>93.24</v>
      </c>
      <c r="N188" t="str">
        <f t="shared" si="11"/>
        <v>Mar</v>
      </c>
    </row>
    <row r="189" spans="1:14" x14ac:dyDescent="0.3">
      <c r="A189" t="s">
        <v>238</v>
      </c>
      <c r="B189">
        <v>31</v>
      </c>
      <c r="C189" t="s">
        <v>25</v>
      </c>
      <c r="D189" t="s">
        <v>46</v>
      </c>
      <c r="E189" t="s">
        <v>15</v>
      </c>
      <c r="F189" t="s">
        <v>47</v>
      </c>
      <c r="G189" t="s">
        <v>37</v>
      </c>
      <c r="H189">
        <v>13.84</v>
      </c>
      <c r="I189">
        <v>1</v>
      </c>
      <c r="J189" s="1">
        <v>45842</v>
      </c>
      <c r="K189">
        <v>4</v>
      </c>
      <c r="L189" t="s">
        <v>18</v>
      </c>
      <c r="M189">
        <f t="shared" si="10"/>
        <v>13.84</v>
      </c>
      <c r="N189" t="str">
        <f t="shared" si="11"/>
        <v>Jul</v>
      </c>
    </row>
    <row r="190" spans="1:14" x14ac:dyDescent="0.3">
      <c r="A190" t="s">
        <v>239</v>
      </c>
      <c r="B190">
        <v>39</v>
      </c>
      <c r="C190" t="s">
        <v>25</v>
      </c>
      <c r="D190" t="s">
        <v>14</v>
      </c>
      <c r="E190" t="s">
        <v>21</v>
      </c>
      <c r="F190" t="s">
        <v>16</v>
      </c>
      <c r="G190" t="s">
        <v>50</v>
      </c>
      <c r="H190">
        <v>24.91</v>
      </c>
      <c r="I190">
        <v>5</v>
      </c>
      <c r="J190" s="1">
        <v>45881</v>
      </c>
      <c r="K190">
        <v>5</v>
      </c>
      <c r="L190" t="s">
        <v>18</v>
      </c>
      <c r="M190">
        <f t="shared" si="10"/>
        <v>124.55</v>
      </c>
      <c r="N190" t="str">
        <f t="shared" si="11"/>
        <v>Aug</v>
      </c>
    </row>
    <row r="191" spans="1:14" x14ac:dyDescent="0.3">
      <c r="A191" t="s">
        <v>240</v>
      </c>
      <c r="B191">
        <v>21</v>
      </c>
      <c r="C191" t="s">
        <v>25</v>
      </c>
      <c r="D191" t="s">
        <v>46</v>
      </c>
      <c r="E191" t="s">
        <v>27</v>
      </c>
      <c r="F191" t="s">
        <v>75</v>
      </c>
      <c r="G191" t="s">
        <v>40</v>
      </c>
      <c r="H191">
        <v>18.260000000000002</v>
      </c>
      <c r="I191">
        <v>2</v>
      </c>
      <c r="J191" s="1">
        <v>45957</v>
      </c>
      <c r="K191">
        <v>5</v>
      </c>
      <c r="L191" t="s">
        <v>44</v>
      </c>
      <c r="M191">
        <f t="shared" si="10"/>
        <v>36.520000000000003</v>
      </c>
      <c r="N191" t="str">
        <f t="shared" si="11"/>
        <v>Oct</v>
      </c>
    </row>
    <row r="192" spans="1:14" x14ac:dyDescent="0.3">
      <c r="A192" t="s">
        <v>241</v>
      </c>
      <c r="B192">
        <v>35</v>
      </c>
      <c r="C192" t="s">
        <v>13</v>
      </c>
      <c r="D192" t="s">
        <v>20</v>
      </c>
      <c r="E192" t="s">
        <v>21</v>
      </c>
      <c r="F192" t="s">
        <v>63</v>
      </c>
      <c r="G192" t="s">
        <v>29</v>
      </c>
      <c r="H192">
        <v>34.75</v>
      </c>
      <c r="I192">
        <v>2</v>
      </c>
      <c r="J192" s="1">
        <v>45802</v>
      </c>
      <c r="K192">
        <v>3</v>
      </c>
      <c r="L192" t="s">
        <v>18</v>
      </c>
      <c r="M192">
        <f t="shared" si="10"/>
        <v>69.5</v>
      </c>
      <c r="N192" t="str">
        <f t="shared" si="11"/>
        <v>May</v>
      </c>
    </row>
    <row r="193" spans="1:14" x14ac:dyDescent="0.3">
      <c r="A193" t="s">
        <v>242</v>
      </c>
      <c r="B193">
        <v>25</v>
      </c>
      <c r="C193" t="s">
        <v>25</v>
      </c>
      <c r="D193" t="s">
        <v>20</v>
      </c>
      <c r="E193" t="s">
        <v>21</v>
      </c>
      <c r="F193" t="s">
        <v>58</v>
      </c>
      <c r="G193" t="s">
        <v>37</v>
      </c>
      <c r="H193">
        <v>6.23</v>
      </c>
      <c r="I193">
        <v>4</v>
      </c>
      <c r="J193" s="1">
        <v>45809</v>
      </c>
      <c r="K193">
        <v>3</v>
      </c>
      <c r="L193" t="s">
        <v>34</v>
      </c>
      <c r="M193">
        <f t="shared" si="10"/>
        <v>24.92</v>
      </c>
      <c r="N193" t="str">
        <f t="shared" si="11"/>
        <v>Jun</v>
      </c>
    </row>
    <row r="194" spans="1:14" x14ac:dyDescent="0.3">
      <c r="A194" t="s">
        <v>243</v>
      </c>
      <c r="B194">
        <v>22</v>
      </c>
      <c r="C194" t="s">
        <v>25</v>
      </c>
      <c r="D194" t="s">
        <v>14</v>
      </c>
      <c r="E194" t="s">
        <v>15</v>
      </c>
      <c r="F194" t="s">
        <v>39</v>
      </c>
      <c r="G194" t="s">
        <v>17</v>
      </c>
      <c r="H194">
        <v>5.97</v>
      </c>
      <c r="I194">
        <v>1</v>
      </c>
      <c r="J194" s="1">
        <v>45916</v>
      </c>
      <c r="K194">
        <v>4</v>
      </c>
      <c r="L194" t="s">
        <v>73</v>
      </c>
      <c r="M194">
        <f t="shared" ref="M194:M201" si="12">H194*I194</f>
        <v>5.97</v>
      </c>
      <c r="N194" t="str">
        <f t="shared" ref="N194:N201" si="13">TEXT(J194,"mmm")</f>
        <v>Sep</v>
      </c>
    </row>
    <row r="195" spans="1:14" x14ac:dyDescent="0.3">
      <c r="A195" t="s">
        <v>244</v>
      </c>
      <c r="B195">
        <v>29</v>
      </c>
      <c r="C195" t="s">
        <v>13</v>
      </c>
      <c r="D195" t="s">
        <v>42</v>
      </c>
      <c r="E195" t="s">
        <v>21</v>
      </c>
      <c r="F195" t="s">
        <v>43</v>
      </c>
      <c r="G195" t="s">
        <v>50</v>
      </c>
      <c r="H195">
        <v>31.92</v>
      </c>
      <c r="I195">
        <v>5</v>
      </c>
      <c r="J195" s="1">
        <v>45918</v>
      </c>
      <c r="K195">
        <v>5</v>
      </c>
      <c r="L195" t="s">
        <v>59</v>
      </c>
      <c r="M195">
        <f t="shared" si="12"/>
        <v>159.60000000000002</v>
      </c>
      <c r="N195" t="str">
        <f t="shared" si="13"/>
        <v>Sep</v>
      </c>
    </row>
    <row r="196" spans="1:14" x14ac:dyDescent="0.3">
      <c r="A196" t="s">
        <v>245</v>
      </c>
      <c r="B196">
        <v>35</v>
      </c>
      <c r="C196" t="s">
        <v>25</v>
      </c>
      <c r="D196" t="s">
        <v>46</v>
      </c>
      <c r="E196" t="s">
        <v>15</v>
      </c>
      <c r="F196" t="s">
        <v>75</v>
      </c>
      <c r="G196" t="s">
        <v>37</v>
      </c>
      <c r="H196">
        <v>31.91</v>
      </c>
      <c r="I196">
        <v>3</v>
      </c>
      <c r="J196" s="1">
        <v>45991</v>
      </c>
      <c r="K196">
        <v>4</v>
      </c>
      <c r="L196" t="s">
        <v>44</v>
      </c>
      <c r="M196">
        <f t="shared" si="12"/>
        <v>95.73</v>
      </c>
      <c r="N196" t="str">
        <f t="shared" si="13"/>
        <v>Nov</v>
      </c>
    </row>
    <row r="197" spans="1:14" x14ac:dyDescent="0.3">
      <c r="A197" t="s">
        <v>246</v>
      </c>
      <c r="B197">
        <v>37</v>
      </c>
      <c r="C197" t="s">
        <v>13</v>
      </c>
      <c r="D197" t="s">
        <v>20</v>
      </c>
      <c r="E197" t="s">
        <v>27</v>
      </c>
      <c r="F197" t="s">
        <v>22</v>
      </c>
      <c r="G197" t="s">
        <v>29</v>
      </c>
      <c r="H197">
        <v>23.69</v>
      </c>
      <c r="I197">
        <v>3</v>
      </c>
      <c r="J197" s="1">
        <v>45988</v>
      </c>
      <c r="K197">
        <v>3</v>
      </c>
      <c r="L197" t="s">
        <v>34</v>
      </c>
      <c r="M197">
        <f t="shared" si="12"/>
        <v>71.070000000000007</v>
      </c>
      <c r="N197" t="str">
        <f t="shared" si="13"/>
        <v>Nov</v>
      </c>
    </row>
    <row r="198" spans="1:14" x14ac:dyDescent="0.3">
      <c r="A198" t="s">
        <v>247</v>
      </c>
      <c r="B198">
        <v>37</v>
      </c>
      <c r="C198" t="s">
        <v>13</v>
      </c>
      <c r="D198" t="s">
        <v>26</v>
      </c>
      <c r="E198" t="s">
        <v>27</v>
      </c>
      <c r="F198" t="s">
        <v>36</v>
      </c>
      <c r="G198" t="s">
        <v>37</v>
      </c>
      <c r="H198">
        <v>39.340000000000003</v>
      </c>
      <c r="I198">
        <v>3</v>
      </c>
      <c r="J198" s="1">
        <v>45969</v>
      </c>
      <c r="K198">
        <v>4</v>
      </c>
      <c r="L198" t="s">
        <v>18</v>
      </c>
      <c r="M198">
        <f t="shared" si="12"/>
        <v>118.02000000000001</v>
      </c>
      <c r="N198" t="str">
        <f t="shared" si="13"/>
        <v>Nov</v>
      </c>
    </row>
    <row r="199" spans="1:14" x14ac:dyDescent="0.3">
      <c r="A199" t="s">
        <v>248</v>
      </c>
      <c r="B199">
        <v>43</v>
      </c>
      <c r="C199" t="s">
        <v>13</v>
      </c>
      <c r="D199" t="s">
        <v>26</v>
      </c>
      <c r="E199" t="s">
        <v>27</v>
      </c>
      <c r="F199" t="s">
        <v>36</v>
      </c>
      <c r="G199" t="s">
        <v>17</v>
      </c>
      <c r="H199">
        <v>19.57</v>
      </c>
      <c r="I199">
        <v>1</v>
      </c>
      <c r="J199" s="1">
        <v>45866</v>
      </c>
      <c r="K199">
        <v>5</v>
      </c>
      <c r="L199" t="s">
        <v>59</v>
      </c>
      <c r="M199">
        <f t="shared" si="12"/>
        <v>19.57</v>
      </c>
      <c r="N199" t="str">
        <f t="shared" si="13"/>
        <v>Jul</v>
      </c>
    </row>
    <row r="200" spans="1:14" x14ac:dyDescent="0.3">
      <c r="A200" t="s">
        <v>249</v>
      </c>
      <c r="B200">
        <v>19</v>
      </c>
      <c r="C200" t="s">
        <v>13</v>
      </c>
      <c r="D200" t="s">
        <v>14</v>
      </c>
      <c r="E200" t="s">
        <v>15</v>
      </c>
      <c r="F200" t="s">
        <v>55</v>
      </c>
      <c r="G200" t="s">
        <v>29</v>
      </c>
      <c r="H200">
        <v>37.06</v>
      </c>
      <c r="I200">
        <v>1</v>
      </c>
      <c r="J200" s="1">
        <v>45773</v>
      </c>
      <c r="K200">
        <v>5</v>
      </c>
      <c r="L200" t="s">
        <v>59</v>
      </c>
      <c r="M200">
        <f t="shared" si="12"/>
        <v>37.06</v>
      </c>
      <c r="N200" t="str">
        <f t="shared" si="13"/>
        <v>Apr</v>
      </c>
    </row>
    <row r="201" spans="1:14" x14ac:dyDescent="0.3">
      <c r="A201" t="s">
        <v>250</v>
      </c>
      <c r="B201">
        <v>31</v>
      </c>
      <c r="C201" t="s">
        <v>25</v>
      </c>
      <c r="D201" t="s">
        <v>42</v>
      </c>
      <c r="E201" t="s">
        <v>27</v>
      </c>
      <c r="F201" t="s">
        <v>53</v>
      </c>
      <c r="G201" t="s">
        <v>29</v>
      </c>
      <c r="H201">
        <v>11.5</v>
      </c>
      <c r="I201">
        <v>3</v>
      </c>
      <c r="J201" s="1">
        <v>45932</v>
      </c>
      <c r="K201">
        <v>4</v>
      </c>
      <c r="L201" t="s">
        <v>18</v>
      </c>
      <c r="M201">
        <f t="shared" si="12"/>
        <v>34.5</v>
      </c>
      <c r="N201" t="str">
        <f t="shared" si="13"/>
        <v>Oct</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7774-A16B-49C8-9E2E-70B305292652}">
  <dimension ref="B1:AT59"/>
  <sheetViews>
    <sheetView showGridLines="0" tabSelected="1" zoomScale="46" zoomScaleNormal="46" workbookViewId="0">
      <selection activeCell="B34" sqref="B34"/>
    </sheetView>
  </sheetViews>
  <sheetFormatPr defaultRowHeight="14.4" x14ac:dyDescent="0.3"/>
  <cols>
    <col min="8" max="8" width="8.88671875" customWidth="1"/>
    <col min="41" max="41" width="8.44140625" customWidth="1"/>
    <col min="43" max="43" width="8.5546875" customWidth="1"/>
  </cols>
  <sheetData>
    <row r="1" spans="4:46" x14ac:dyDescent="0.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row>
    <row r="2" spans="4:46" x14ac:dyDescent="0.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4:46" x14ac:dyDescent="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4:46" x14ac:dyDescent="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4:46" x14ac:dyDescent="0.3">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4:46" x14ac:dyDescent="0.3">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4:46" x14ac:dyDescent="0.3">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4:46" x14ac:dyDescent="0.3">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4:46" x14ac:dyDescent="0.3">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4:46" x14ac:dyDescent="0.3">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4:46" x14ac:dyDescent="0.3">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4:46" x14ac:dyDescent="0.3">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4:46" x14ac:dyDescent="0.3">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4:46" x14ac:dyDescent="0.3">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4:46" x14ac:dyDescent="0.3">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4:46" x14ac:dyDescent="0.3">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2:46" x14ac:dyDescent="0.3">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2:46" x14ac:dyDescent="0.3">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2:46" x14ac:dyDescent="0.3">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2:46" x14ac:dyDescent="0.3">
      <c r="B20" s="5"/>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2:46" x14ac:dyDescent="0.3">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2:46" x14ac:dyDescent="0.3">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2:46" x14ac:dyDescent="0.3">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2:46" x14ac:dyDescent="0.3">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2:46" x14ac:dyDescent="0.3">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2:46" x14ac:dyDescent="0.3">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2:46" x14ac:dyDescent="0.3">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2:46" x14ac:dyDescent="0.3">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2:46" x14ac:dyDescent="0.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2:46" x14ac:dyDescent="0.3">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2:46" x14ac:dyDescent="0.3">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2:46" x14ac:dyDescent="0.3">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4:46" x14ac:dyDescent="0.3">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4:46" x14ac:dyDescent="0.3">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4:46" x14ac:dyDescent="0.3">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4:46" x14ac:dyDescent="0.3">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4:46" x14ac:dyDescent="0.3">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4:46" x14ac:dyDescent="0.3">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4:46" x14ac:dyDescent="0.3">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4:46" x14ac:dyDescent="0.3">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4:46" x14ac:dyDescent="0.3">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4:46" x14ac:dyDescent="0.3">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4:46" x14ac:dyDescent="0.3">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4:46" x14ac:dyDescent="0.3">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4:46" x14ac:dyDescent="0.3">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4:46" x14ac:dyDescent="0.3">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4:46" x14ac:dyDescent="0.3">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4:46" x14ac:dyDescent="0.3">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4:46" x14ac:dyDescent="0.3">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4:46" x14ac:dyDescent="0.3">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4:46" x14ac:dyDescent="0.3">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4:46" x14ac:dyDescent="0.3">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4:46" x14ac:dyDescent="0.3">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4:46" x14ac:dyDescent="0.3">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4:46" x14ac:dyDescent="0.3">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4:46" x14ac:dyDescent="0.3">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4:46" x14ac:dyDescent="0.3">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4:46" x14ac:dyDescent="0.3">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4:46" x14ac:dyDescent="0.3">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Sheet6</vt:lpstr>
      <vt:lpstr>Sheet7</vt:lpstr>
      <vt:lpstr>Sheet8</vt:lpstr>
      <vt:lpstr>Sheet12</vt:lpstr>
      <vt:lpstr>Cosmetics_Data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SAHANA BABU</cp:lastModifiedBy>
  <dcterms:created xsi:type="dcterms:W3CDTF">2026-06-18T13:22:56Z</dcterms:created>
  <dcterms:modified xsi:type="dcterms:W3CDTF">2026-06-20T13:48:25Z</dcterms:modified>
</cp:coreProperties>
</file>